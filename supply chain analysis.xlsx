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E90D6A54-FD60-49D7-BB01-43E8342D04E8}" xr6:coauthVersionLast="47" xr6:coauthVersionMax="47" xr10:uidLastSave="{00000000-0000-0000-0000-000000000000}"/>
  <bookViews>
    <workbookView xWindow="-108" yWindow="-108" windowWidth="23256" windowHeight="12456" xr2:uid="{4627781C-8163-4B10-8B89-4B53216465FA}"/>
  </bookViews>
  <sheets>
    <sheet name="Supply chain data" sheetId="2" r:id="rId1"/>
    <sheet name="Revenue generation " sheetId="3" r:id="rId2"/>
    <sheet name="Shipping cost" sheetId="4" r:id="rId3"/>
  </sheets>
  <definedNames>
    <definedName name="ExternalData_1" localSheetId="0" hidden="1">'Supply chain data'!$A$1:$X$101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3E48A9-1AAD-4EBF-8A46-9F5983E8D7AD}" keepAlive="1" name="Query - Supply chain data" description="Connection to the 'Supply chain data' query in the workbook." type="5" refreshedVersion="8" background="1" saveData="1">
    <dbPr connection="Provider=Microsoft.Mashup.OleDb.1;Data Source=$Workbook$;Location=&quot;Supply chain data&quot;;Extended Properties=&quot;&quot;" command="SELECT * FROM [Supply chain data]"/>
  </connection>
</connections>
</file>

<file path=xl/sharedStrings.xml><?xml version="1.0" encoding="utf-8"?>
<sst xmlns="http://schemas.openxmlformats.org/spreadsheetml/2006/main" count="978" uniqueCount="159">
  <si>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</si>
  <si>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</si>
  <si>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</si>
  <si>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</si>
  <si>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</si>
  <si>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</si>
  <si>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</si>
  <si>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</si>
  <si>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</si>
  <si>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</si>
  <si>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</si>
  <si>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</si>
  <si>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</si>
  <si>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</si>
  <si>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</si>
  <si>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</si>
  <si>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</si>
  <si>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</si>
  <si>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</si>
  <si>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</si>
  <si>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</si>
  <si>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</si>
  <si>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</si>
  <si>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</si>
  <si>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</si>
  <si>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</si>
  <si>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</si>
  <si>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</si>
  <si>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</si>
  <si>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</si>
  <si>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</si>
  <si>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</si>
  <si>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</si>
  <si>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</si>
  <si>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</si>
  <si>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</si>
  <si>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</si>
  <si>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</si>
  <si>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</si>
  <si>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</si>
  <si>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</si>
  <si>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</si>
  <si>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</si>
  <si>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</si>
  <si>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</si>
  <si>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</si>
  <si>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</si>
  <si>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</si>
  <si>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</si>
  <si>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</si>
  <si>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</si>
  <si>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</si>
  <si>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</si>
  <si>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</si>
  <si>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</si>
  <si>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</si>
  <si>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</si>
  <si>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</si>
  <si>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</si>
  <si>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</si>
  <si>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</si>
  <si>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</si>
  <si>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</si>
  <si>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</si>
  <si>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</si>
  <si>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</si>
  <si>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</si>
  <si>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</si>
  <si>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</si>
  <si>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</si>
  <si>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</si>
  <si>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</si>
  <si>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</si>
  <si>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</si>
  <si>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</si>
  <si>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</si>
  <si>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</si>
  <si>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</si>
  <si>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</si>
  <si>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</si>
  <si>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</si>
  <si>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</si>
  <si>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</si>
  <si>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</si>
  <si>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</si>
  <si>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</si>
  <si>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</si>
  <si>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</si>
  <si>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</si>
  <si>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</si>
  <si>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</si>
  <si>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</si>
  <si>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</si>
  <si>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</si>
  <si>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</si>
  <si>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</si>
  <si>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</si>
  <si>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</si>
  <si>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</si>
  <si>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</si>
  <si>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</si>
  <si>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</si>
  <si>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</si>
  <si>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</si>
  <si>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</si>
  <si>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</si>
  <si>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</si>
  <si>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</si>
  <si>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</si>
  <si>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</si>
  <si>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</si>
  <si>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</si>
  <si>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</si>
  <si>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</si>
  <si>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</si>
  <si>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</si>
  <si>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</si>
  <si>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</si>
  <si>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</si>
  <si>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</si>
  <si>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</si>
  <si>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</si>
  <si>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</si>
  <si>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</si>
  <si>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</si>
  <si>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</si>
  <si>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</si>
  <si>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</si>
  <si>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</si>
  <si>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</si>
  <si>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</si>
  <si>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</si>
  <si>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</si>
  <si>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</si>
  <si>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</si>
  <si>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</si>
  <si>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</si>
  <si>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</si>
  <si>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</si>
  <si>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</si>
  <si>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</si>
  <si>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</si>
  <si>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</si>
  <si>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</si>
  <si>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</si>
  <si>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</si>
  <si>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</si>
  <si>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</si>
  <si>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</si>
  <si>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</si>
  <si>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</si>
  <si>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</si>
  <si>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</si>
  <si>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</si>
  <si>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Row Labels</t>
  </si>
  <si>
    <t>Grand Total</t>
  </si>
  <si>
    <t>Sum of Revenue generated</t>
  </si>
  <si>
    <t>Column Labels</t>
  </si>
  <si>
    <t>Sum of Shipping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</si>
</sst>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xmi rathod" refreshedDate="46175.588971643519" createdVersion="8" refreshedVersion="8" minRefreshableVersion="3" recordCount="100" xr:uid="{880D7C0E-5946-46A5-AE25-038D3EC05FA0}">
  <cacheSource type="worksheet">
    <worksheetSource name="Supply_chain_data"/>
  </cacheSource>
  <cacheFields count="24">
    <cacheField name="Product type" numFmtId="0">
      <sharedItems count="3">
        <s v="haircare"/>
        <s v="skincare"/>
        <s v="cosmetics"/>
      </sharedItems>
    </cacheField>
    <cacheField name="SKU" numFmtId="0">
      <sharedItems/>
    </cacheField>
    <cacheField name="Price" numFmtId="0">
      <sharedItems containsSemiMixedTypes="0" containsString="0" containsNumber="1" containsInteger="1" minValue="2" maxValue="99"/>
    </cacheField>
    <cacheField name="Availability" numFmtId="0">
      <sharedItems containsSemiMixedTypes="0" containsString="0" containsNumber="1" containsInteger="1" minValue="1" maxValue="100"/>
    </cacheField>
    <cacheField name="Number of products sold" numFmtId="0">
      <sharedItems containsSemiMixedTypes="0" containsString="0" containsNumber="1" containsInteger="1" minValue="8" maxValue="996"/>
    </cacheField>
    <cacheField name="Revenue generated" numFmtId="0">
      <sharedItems containsSemiMixedTypes="0" containsString="0" containsNumber="1" containsInteger="1" minValue="1062" maxValue="9866"/>
    </cacheField>
    <cacheField name="Customer demographics" numFmtId="0">
      <sharedItems count="4">
        <s v="Non-binary"/>
        <s v="Female"/>
        <s v="Unknown"/>
        <s v="Male"/>
      </sharedItems>
    </cacheField>
    <cacheField name="Stock levels" numFmtId="0">
      <sharedItems containsSemiMixedTypes="0" containsString="0" containsNumber="1" containsInteger="1" minValue="0" maxValue="100"/>
    </cacheField>
    <cacheField name="Lead times" numFmtId="0">
      <sharedItems containsSemiMixedTypes="0" containsString="0" containsNumber="1" containsInteger="1" minValue="1" maxValue="30"/>
    </cacheField>
    <cacheField name="Order quantities" numFmtId="0">
      <sharedItems containsSemiMixedTypes="0" containsString="0" containsNumber="1" containsInteger="1" minValue="1" maxValue="96"/>
    </cacheField>
    <cacheField name="Shipping times" numFmtId="0">
      <sharedItems containsSemiMixedTypes="0" containsString="0" containsNumber="1" containsInteger="1" minValue="1" maxValue="10"/>
    </cacheField>
    <cacheField name="Shipping carriers" numFmtId="0">
      <sharedItems/>
    </cacheField>
    <cacheField name="Shipping costs" numFmtId="0">
      <sharedItems containsSemiMixedTypes="0" containsString="0" containsNumber="1" containsInteger="1" minValue="1" maxValue="10"/>
    </cacheField>
    <cacheField name="Supplier name" numFmtId="0">
      <sharedItems count="5">
        <s v="Supplier 3"/>
        <s v="Supplier 1"/>
        <s v="Supplier 5"/>
        <s v="Supplier 4"/>
        <s v="Supplier 2"/>
      </sharedItems>
    </cacheField>
    <cacheField name="Location" numFmtId="0">
      <sharedItems count="5">
        <s v="Mumbai"/>
        <s v="Kolkata"/>
        <s v="Delhi"/>
        <s v="Bangalore"/>
        <s v="Chennai"/>
      </sharedItems>
    </cacheField>
    <cacheField name="Lead time" numFmtId="0">
      <sharedItems containsSemiMixedTypes="0" containsString="0" containsNumber="1" containsInteger="1" minValue="1" maxValue="30"/>
    </cacheField>
    <cacheField name="Production volumes" numFmtId="0">
      <sharedItems containsSemiMixedTypes="0" containsString="0" containsNumber="1" containsInteger="1" minValue="104" maxValue="985"/>
    </cacheField>
    <cacheField name="Manufacturing lead time" numFmtId="0">
      <sharedItems containsSemiMixedTypes="0" containsString="0" containsNumber="1" containsInteger="1" minValue="1" maxValue="30"/>
    </cacheField>
    <cacheField name="Manufacturing costs" numFmtId="0">
      <sharedItems containsSemiMixedTypes="0" containsString="0" containsNumber="1" containsInteger="1" minValue="1" maxValue="99"/>
    </cacheField>
    <cacheField name="Inspection results" numFmtId="0">
      <sharedItems count="3">
        <s v="Pending"/>
        <s v="Fail"/>
        <s v="Pass"/>
      </sharedItems>
    </cacheField>
    <cacheField name="Defect rates" numFmtId="0">
      <sharedItems containsSemiMixedTypes="0" containsString="0" containsNumber="1" containsInteger="1" minValue="0" maxValue="5"/>
    </cacheField>
    <cacheField name="Transportation modes" numFmtId="0">
      <sharedItems count="4">
        <s v="Road"/>
        <s v="Air"/>
        <s v="Rail"/>
        <s v="Sea"/>
      </sharedItems>
    </cacheField>
    <cacheField name="Routes" numFmtId="0">
      <sharedItems/>
    </cacheField>
    <cacheField name="Costs" numFmtId="0">
      <sharedItems containsSemiMixedTypes="0" containsString="0" containsNumber="1" containsInteger="1" minValue="104" maxValue="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SKU0"/>
    <n v="70"/>
    <n v="55"/>
    <n v="802"/>
    <n v="8662"/>
    <x v="0"/>
    <n v="58"/>
    <n v="7"/>
    <n v="96"/>
    <n v="4"/>
    <s v="Carrier B"/>
    <n v="3"/>
    <x v="0"/>
    <x v="0"/>
    <n v="29"/>
    <n v="215"/>
    <n v="29"/>
    <n v="46"/>
    <x v="0"/>
    <n v="0"/>
    <x v="0"/>
    <s v="Route B"/>
    <n v="188"/>
  </r>
  <r>
    <x v="1"/>
    <s v="SKU1"/>
    <n v="15"/>
    <n v="95"/>
    <n v="736"/>
    <n v="7461"/>
    <x v="1"/>
    <n v="53"/>
    <n v="30"/>
    <n v="37"/>
    <n v="2"/>
    <s v="Carrier A"/>
    <n v="10"/>
    <x v="0"/>
    <x v="0"/>
    <n v="23"/>
    <n v="517"/>
    <n v="30"/>
    <n v="34"/>
    <x v="0"/>
    <n v="5"/>
    <x v="0"/>
    <s v="Route B"/>
    <n v="503"/>
  </r>
  <r>
    <x v="0"/>
    <s v="SKU2"/>
    <n v="11"/>
    <n v="34"/>
    <n v="8"/>
    <n v="9578"/>
    <x v="2"/>
    <n v="1"/>
    <n v="10"/>
    <n v="88"/>
    <n v="2"/>
    <s v="Carrier B"/>
    <n v="8"/>
    <x v="1"/>
    <x v="0"/>
    <n v="12"/>
    <n v="971"/>
    <n v="27"/>
    <n v="31"/>
    <x v="0"/>
    <n v="5"/>
    <x v="1"/>
    <s v="Route C"/>
    <n v="142"/>
  </r>
  <r>
    <x v="1"/>
    <s v="SKU3"/>
    <n v="61"/>
    <n v="68"/>
    <n v="83"/>
    <n v="7767"/>
    <x v="0"/>
    <n v="23"/>
    <n v="13"/>
    <n v="59"/>
    <n v="6"/>
    <s v="Carrier C"/>
    <n v="2"/>
    <x v="2"/>
    <x v="1"/>
    <n v="24"/>
    <n v="937"/>
    <n v="18"/>
    <n v="36"/>
    <x v="1"/>
    <n v="5"/>
    <x v="2"/>
    <s v="Route A"/>
    <n v="255"/>
  </r>
  <r>
    <x v="1"/>
    <s v="SKU4"/>
    <n v="5"/>
    <n v="26"/>
    <n v="871"/>
    <n v="2687"/>
    <x v="0"/>
    <n v="5"/>
    <n v="3"/>
    <n v="56"/>
    <n v="8"/>
    <s v="Carrier A"/>
    <n v="4"/>
    <x v="1"/>
    <x v="2"/>
    <n v="5"/>
    <n v="414"/>
    <n v="3"/>
    <n v="92"/>
    <x v="1"/>
    <n v="3"/>
    <x v="1"/>
    <s v="Route A"/>
    <n v="923"/>
  </r>
  <r>
    <x v="0"/>
    <s v="SKU5"/>
    <n v="2"/>
    <n v="87"/>
    <n v="147"/>
    <n v="2828"/>
    <x v="0"/>
    <n v="90"/>
    <n v="27"/>
    <n v="66"/>
    <n v="3"/>
    <s v="Carrier B"/>
    <n v="4"/>
    <x v="3"/>
    <x v="3"/>
    <n v="10"/>
    <n v="104"/>
    <n v="17"/>
    <n v="57"/>
    <x v="1"/>
    <n v="3"/>
    <x v="0"/>
    <s v="Route A"/>
    <n v="235"/>
  </r>
  <r>
    <x v="1"/>
    <s v="SKU6"/>
    <n v="4"/>
    <n v="48"/>
    <n v="65"/>
    <n v="7823"/>
    <x v="3"/>
    <n v="11"/>
    <n v="15"/>
    <n v="58"/>
    <n v="8"/>
    <s v="Carrier C"/>
    <n v="4"/>
    <x v="0"/>
    <x v="1"/>
    <n v="14"/>
    <n v="314"/>
    <n v="24"/>
    <n v="1"/>
    <x v="0"/>
    <n v="1"/>
    <x v="3"/>
    <s v="Route A"/>
    <n v="134"/>
  </r>
  <r>
    <x v="2"/>
    <s v="SKU7"/>
    <n v="43"/>
    <n v="59"/>
    <n v="426"/>
    <n v="8496"/>
    <x v="1"/>
    <n v="93"/>
    <n v="17"/>
    <n v="11"/>
    <n v="1"/>
    <s v="Carrier B"/>
    <n v="2"/>
    <x v="3"/>
    <x v="3"/>
    <n v="22"/>
    <n v="564"/>
    <n v="1"/>
    <n v="99"/>
    <x v="1"/>
    <n v="0"/>
    <x v="0"/>
    <s v="Route C"/>
    <n v="802"/>
  </r>
  <r>
    <x v="2"/>
    <s v="SKU8"/>
    <n v="69"/>
    <n v="78"/>
    <n v="150"/>
    <n v="7517"/>
    <x v="1"/>
    <n v="5"/>
    <n v="10"/>
    <n v="15"/>
    <n v="7"/>
    <s v="Carrier C"/>
    <n v="3"/>
    <x v="3"/>
    <x v="0"/>
    <n v="13"/>
    <n v="769"/>
    <n v="8"/>
    <n v="11"/>
    <x v="0"/>
    <n v="3"/>
    <x v="3"/>
    <s v="Route B"/>
    <n v="506"/>
  </r>
  <r>
    <x v="1"/>
    <s v="SKU9"/>
    <n v="64"/>
    <n v="35"/>
    <n v="980"/>
    <n v="4971"/>
    <x v="2"/>
    <n v="14"/>
    <n v="27"/>
    <n v="83"/>
    <n v="1"/>
    <s v="Carrier A"/>
    <n v="7"/>
    <x v="4"/>
    <x v="4"/>
    <n v="29"/>
    <n v="963"/>
    <n v="23"/>
    <n v="48"/>
    <x v="0"/>
    <n v="4"/>
    <x v="2"/>
    <s v="Route B"/>
    <n v="996"/>
  </r>
  <r>
    <x v="1"/>
    <s v="SKU10"/>
    <n v="16"/>
    <n v="11"/>
    <n v="996"/>
    <n v="2331"/>
    <x v="0"/>
    <n v="51"/>
    <n v="13"/>
    <n v="80"/>
    <n v="2"/>
    <s v="Carrier C"/>
    <n v="9"/>
    <x v="2"/>
    <x v="1"/>
    <n v="18"/>
    <n v="830"/>
    <n v="5"/>
    <n v="97"/>
    <x v="2"/>
    <n v="2"/>
    <x v="0"/>
    <s v="Route B"/>
    <n v="806"/>
  </r>
  <r>
    <x v="1"/>
    <s v="SKU11"/>
    <n v="91"/>
    <n v="95"/>
    <n v="960"/>
    <n v="6100"/>
    <x v="1"/>
    <n v="46"/>
    <n v="23"/>
    <n v="60"/>
    <n v="1"/>
    <s v="Carrier A"/>
    <n v="5"/>
    <x v="4"/>
    <x v="1"/>
    <n v="28"/>
    <n v="362"/>
    <n v="11"/>
    <n v="28"/>
    <x v="0"/>
    <n v="0"/>
    <x v="1"/>
    <s v="Route A"/>
    <n v="127"/>
  </r>
  <r>
    <x v="0"/>
    <s v="SKU12"/>
    <n v="71"/>
    <n v="41"/>
    <n v="336"/>
    <n v="2874"/>
    <x v="2"/>
    <n v="100"/>
    <n v="30"/>
    <n v="85"/>
    <n v="4"/>
    <s v="Carrier A"/>
    <n v="1"/>
    <x v="3"/>
    <x v="1"/>
    <n v="3"/>
    <n v="563"/>
    <n v="3"/>
    <n v="32"/>
    <x v="1"/>
    <n v="2"/>
    <x v="0"/>
    <s v="Route B"/>
    <n v="403"/>
  </r>
  <r>
    <x v="1"/>
    <s v="SKU13"/>
    <n v="16"/>
    <n v="5"/>
    <n v="249"/>
    <n v="4053"/>
    <x v="3"/>
    <n v="80"/>
    <n v="8"/>
    <n v="48"/>
    <n v="9"/>
    <s v="Carrier A"/>
    <n v="10"/>
    <x v="2"/>
    <x v="3"/>
    <n v="23"/>
    <n v="173"/>
    <n v="10"/>
    <n v="98"/>
    <x v="0"/>
    <n v="2"/>
    <x v="0"/>
    <s v="Route B"/>
    <n v="547"/>
  </r>
  <r>
    <x v="1"/>
    <s v="SKU14"/>
    <n v="99"/>
    <n v="26"/>
    <n v="562"/>
    <n v="8654"/>
    <x v="0"/>
    <n v="54"/>
    <n v="29"/>
    <n v="78"/>
    <n v="5"/>
    <s v="Carrier B"/>
    <n v="2"/>
    <x v="1"/>
    <x v="1"/>
    <n v="25"/>
    <n v="558"/>
    <n v="14"/>
    <n v="6"/>
    <x v="0"/>
    <n v="0"/>
    <x v="1"/>
    <s v="Route B"/>
    <n v="929"/>
  </r>
  <r>
    <x v="1"/>
    <s v="SKU15"/>
    <n v="37"/>
    <n v="94"/>
    <n v="469"/>
    <n v="5442"/>
    <x v="0"/>
    <n v="9"/>
    <n v="8"/>
    <n v="69"/>
    <n v="7"/>
    <s v="Carrier B"/>
    <n v="2"/>
    <x v="1"/>
    <x v="3"/>
    <n v="14"/>
    <n v="580"/>
    <n v="7"/>
    <n v="97"/>
    <x v="2"/>
    <n v="2"/>
    <x v="3"/>
    <s v="Route B"/>
    <n v="128"/>
  </r>
  <r>
    <x v="1"/>
    <s v="SKU16"/>
    <n v="8"/>
    <n v="74"/>
    <n v="280"/>
    <n v="6454"/>
    <x v="1"/>
    <n v="2"/>
    <n v="5"/>
    <n v="78"/>
    <n v="1"/>
    <s v="Carrier B"/>
    <n v="4"/>
    <x v="1"/>
    <x v="3"/>
    <n v="3"/>
    <n v="399"/>
    <n v="21"/>
    <n v="77"/>
    <x v="2"/>
    <n v="1"/>
    <x v="1"/>
    <s v="Route A"/>
    <n v="866"/>
  </r>
  <r>
    <x v="2"/>
    <s v="SKU17"/>
    <n v="81"/>
    <n v="82"/>
    <n v="126"/>
    <n v="2629"/>
    <x v="1"/>
    <n v="45"/>
    <n v="17"/>
    <n v="85"/>
    <n v="9"/>
    <s v="Carrier C"/>
    <n v="4"/>
    <x v="1"/>
    <x v="4"/>
    <n v="7"/>
    <n v="453"/>
    <n v="16"/>
    <n v="48"/>
    <x v="1"/>
    <n v="0"/>
    <x v="1"/>
    <s v="Route C"/>
    <n v="671"/>
  </r>
  <r>
    <x v="0"/>
    <s v="SKU18"/>
    <n v="36"/>
    <n v="23"/>
    <n v="620"/>
    <n v="9365"/>
    <x v="2"/>
    <n v="10"/>
    <n v="10"/>
    <n v="46"/>
    <n v="8"/>
    <s v="Carrier C"/>
    <n v="4"/>
    <x v="4"/>
    <x v="1"/>
    <n v="18"/>
    <n v="374"/>
    <n v="17"/>
    <n v="27"/>
    <x v="0"/>
    <n v="2"/>
    <x v="3"/>
    <s v="Route A"/>
    <n v="593"/>
  </r>
  <r>
    <x v="1"/>
    <s v="SKU19"/>
    <n v="51"/>
    <n v="100"/>
    <n v="187"/>
    <n v="2553"/>
    <x v="2"/>
    <n v="48"/>
    <n v="11"/>
    <n v="94"/>
    <n v="3"/>
    <s v="Carrier A"/>
    <n v="5"/>
    <x v="3"/>
    <x v="4"/>
    <n v="20"/>
    <n v="694"/>
    <n v="16"/>
    <n v="82"/>
    <x v="1"/>
    <n v="4"/>
    <x v="0"/>
    <s v="Route C"/>
    <n v="477"/>
  </r>
  <r>
    <x v="1"/>
    <s v="SKU20"/>
    <n v="96"/>
    <n v="22"/>
    <n v="320"/>
    <n v="8128"/>
    <x v="2"/>
    <n v="27"/>
    <n v="12"/>
    <n v="68"/>
    <n v="6"/>
    <s v="Carrier A"/>
    <n v="9"/>
    <x v="1"/>
    <x v="4"/>
    <n v="29"/>
    <n v="309"/>
    <n v="6"/>
    <n v="66"/>
    <x v="2"/>
    <n v="4"/>
    <x v="1"/>
    <s v="Route B"/>
    <n v="494"/>
  </r>
  <r>
    <x v="2"/>
    <s v="SKU21"/>
    <n v="85"/>
    <n v="60"/>
    <n v="601"/>
    <n v="7087"/>
    <x v="2"/>
    <n v="69"/>
    <n v="25"/>
    <n v="7"/>
    <n v="6"/>
    <s v="Carrier B"/>
    <n v="6"/>
    <x v="2"/>
    <x v="4"/>
    <n v="19"/>
    <n v="791"/>
    <n v="4"/>
    <n v="62"/>
    <x v="0"/>
    <n v="0"/>
    <x v="1"/>
    <s v="Route C"/>
    <n v="523"/>
  </r>
  <r>
    <x v="0"/>
    <s v="SKU22"/>
    <n v="28"/>
    <n v="55"/>
    <n v="884"/>
    <n v="2391"/>
    <x v="2"/>
    <n v="71"/>
    <n v="1"/>
    <n v="63"/>
    <n v="10"/>
    <s v="Carrier A"/>
    <n v="10"/>
    <x v="3"/>
    <x v="1"/>
    <n v="22"/>
    <n v="780"/>
    <n v="28"/>
    <n v="50"/>
    <x v="1"/>
    <n v="3"/>
    <x v="2"/>
    <s v="Route C"/>
    <n v="206"/>
  </r>
  <r>
    <x v="2"/>
    <s v="SKU23"/>
    <n v="4"/>
    <n v="30"/>
    <n v="391"/>
    <n v="8858"/>
    <x v="2"/>
    <n v="84"/>
    <n v="5"/>
    <n v="29"/>
    <n v="7"/>
    <s v="Carrier A"/>
    <n v="3"/>
    <x v="2"/>
    <x v="1"/>
    <n v="11"/>
    <n v="568"/>
    <n v="29"/>
    <n v="99"/>
    <x v="0"/>
    <n v="1"/>
    <x v="2"/>
    <s v="Route A"/>
    <n v="196"/>
  </r>
  <r>
    <x v="0"/>
    <s v="SKU24"/>
    <n v="4"/>
    <n v="32"/>
    <n v="209"/>
    <n v="9049"/>
    <x v="3"/>
    <n v="4"/>
    <n v="26"/>
    <n v="2"/>
    <n v="8"/>
    <s v="Carrier C"/>
    <n v="10"/>
    <x v="4"/>
    <x v="3"/>
    <n v="28"/>
    <n v="447"/>
    <n v="3"/>
    <n v="40"/>
    <x v="0"/>
    <n v="4"/>
    <x v="1"/>
    <s v="Route A"/>
    <n v="759"/>
  </r>
  <r>
    <x v="0"/>
    <s v="SKU25"/>
    <n v="40"/>
    <n v="73"/>
    <n v="142"/>
    <n v="2175"/>
    <x v="3"/>
    <n v="82"/>
    <n v="11"/>
    <n v="52"/>
    <n v="3"/>
    <s v="Carrier C"/>
    <n v="2"/>
    <x v="3"/>
    <x v="1"/>
    <n v="19"/>
    <n v="934"/>
    <n v="23"/>
    <n v="78"/>
    <x v="0"/>
    <n v="4"/>
    <x v="0"/>
    <s v="Route B"/>
    <n v="459"/>
  </r>
  <r>
    <x v="0"/>
    <s v="SKU26"/>
    <n v="97"/>
    <n v="9"/>
    <n v="353"/>
    <n v="3716"/>
    <x v="3"/>
    <n v="59"/>
    <n v="16"/>
    <n v="48"/>
    <n v="4"/>
    <s v="Carrier B"/>
    <n v="7"/>
    <x v="4"/>
    <x v="3"/>
    <n v="26"/>
    <n v="171"/>
    <n v="4"/>
    <n v="16"/>
    <x v="2"/>
    <n v="2"/>
    <x v="2"/>
    <s v="Route A"/>
    <n v="618"/>
  </r>
  <r>
    <x v="2"/>
    <s v="SKU27"/>
    <n v="93"/>
    <n v="42"/>
    <n v="352"/>
    <n v="2686"/>
    <x v="2"/>
    <n v="47"/>
    <n v="9"/>
    <n v="62"/>
    <n v="8"/>
    <s v="Carrier C"/>
    <n v="7"/>
    <x v="2"/>
    <x v="0"/>
    <n v="25"/>
    <n v="291"/>
    <n v="4"/>
    <n v="11"/>
    <x v="1"/>
    <n v="3"/>
    <x v="3"/>
    <s v="Route B"/>
    <n v="762"/>
  </r>
  <r>
    <x v="2"/>
    <s v="SKU28"/>
    <n v="2"/>
    <n v="12"/>
    <n v="394"/>
    <n v="6117"/>
    <x v="1"/>
    <n v="48"/>
    <n v="15"/>
    <n v="24"/>
    <n v="4"/>
    <s v="Carrier B"/>
    <n v="10"/>
    <x v="1"/>
    <x v="0"/>
    <n v="13"/>
    <n v="171"/>
    <n v="7"/>
    <n v="59"/>
    <x v="1"/>
    <n v="1"/>
    <x v="1"/>
    <s v="Route A"/>
    <n v="123"/>
  </r>
  <r>
    <x v="2"/>
    <s v="SKU29"/>
    <n v="63"/>
    <n v="3"/>
    <n v="253"/>
    <n v="8319"/>
    <x v="1"/>
    <n v="45"/>
    <n v="5"/>
    <n v="67"/>
    <n v="7"/>
    <s v="Carrier B"/>
    <n v="8"/>
    <x v="1"/>
    <x v="1"/>
    <n v="16"/>
    <n v="329"/>
    <n v="7"/>
    <n v="39"/>
    <x v="2"/>
    <n v="4"/>
    <x v="0"/>
    <s v="Route B"/>
    <n v="765"/>
  </r>
  <r>
    <x v="0"/>
    <s v="SKU30"/>
    <n v="8"/>
    <n v="10"/>
    <n v="327"/>
    <n v="2766"/>
    <x v="3"/>
    <n v="60"/>
    <n v="26"/>
    <n v="35"/>
    <n v="7"/>
    <s v="Carrier B"/>
    <n v="9"/>
    <x v="3"/>
    <x v="1"/>
    <n v="27"/>
    <n v="806"/>
    <n v="30"/>
    <n v="52"/>
    <x v="0"/>
    <n v="1"/>
    <x v="0"/>
    <s v="Route C"/>
    <n v="880"/>
  </r>
  <r>
    <x v="1"/>
    <s v="SKU31"/>
    <n v="51"/>
    <n v="28"/>
    <n v="168"/>
    <n v="9655"/>
    <x v="3"/>
    <n v="6"/>
    <n v="17"/>
    <n v="44"/>
    <n v="4"/>
    <s v="Carrier B"/>
    <n v="3"/>
    <x v="0"/>
    <x v="4"/>
    <n v="24"/>
    <n v="461"/>
    <n v="8"/>
    <n v="60"/>
    <x v="0"/>
    <n v="3"/>
    <x v="2"/>
    <s v="Route C"/>
    <n v="609"/>
  </r>
  <r>
    <x v="1"/>
    <s v="SKU32"/>
    <n v="79"/>
    <n v="43"/>
    <n v="781"/>
    <n v="9572"/>
    <x v="2"/>
    <n v="89"/>
    <n v="13"/>
    <n v="64"/>
    <n v="4"/>
    <s v="Carrier C"/>
    <n v="7"/>
    <x v="0"/>
    <x v="1"/>
    <n v="30"/>
    <n v="737"/>
    <n v="7"/>
    <n v="30"/>
    <x v="2"/>
    <n v="2"/>
    <x v="0"/>
    <s v="Route A"/>
    <n v="761"/>
  </r>
  <r>
    <x v="2"/>
    <s v="SKU33"/>
    <n v="65"/>
    <n v="63"/>
    <n v="616"/>
    <n v="5150"/>
    <x v="0"/>
    <n v="4"/>
    <n v="17"/>
    <n v="95"/>
    <n v="9"/>
    <s v="Carrier C"/>
    <n v="5"/>
    <x v="2"/>
    <x v="4"/>
    <n v="1"/>
    <n v="251"/>
    <n v="23"/>
    <n v="24"/>
    <x v="1"/>
    <n v="4"/>
    <x v="3"/>
    <s v="Route A"/>
    <n v="371"/>
  </r>
  <r>
    <x v="1"/>
    <s v="SKU34"/>
    <n v="37"/>
    <n v="96"/>
    <n v="602"/>
    <n v="9062"/>
    <x v="2"/>
    <n v="1"/>
    <n v="26"/>
    <n v="21"/>
    <n v="7"/>
    <s v="Carrier A"/>
    <n v="1"/>
    <x v="1"/>
    <x v="4"/>
    <n v="4"/>
    <n v="452"/>
    <n v="10"/>
    <n v="11"/>
    <x v="2"/>
    <n v="1"/>
    <x v="0"/>
    <s v="Route B"/>
    <n v="510"/>
  </r>
  <r>
    <x v="2"/>
    <s v="SKU35"/>
    <n v="85"/>
    <n v="11"/>
    <n v="449"/>
    <n v="6541"/>
    <x v="1"/>
    <n v="42"/>
    <n v="27"/>
    <n v="85"/>
    <n v="8"/>
    <s v="Carrier C"/>
    <n v="5"/>
    <x v="1"/>
    <x v="2"/>
    <n v="3"/>
    <n v="367"/>
    <n v="2"/>
    <n v="58"/>
    <x v="2"/>
    <n v="1"/>
    <x v="3"/>
    <s v="Route C"/>
    <n v="553"/>
  </r>
  <r>
    <x v="1"/>
    <s v="SKU36"/>
    <n v="10"/>
    <n v="34"/>
    <n v="963"/>
    <n v="7573"/>
    <x v="1"/>
    <n v="18"/>
    <n v="23"/>
    <n v="28"/>
    <n v="3"/>
    <s v="Carrier B"/>
    <n v="2"/>
    <x v="4"/>
    <x v="2"/>
    <n v="26"/>
    <n v="671"/>
    <n v="19"/>
    <n v="46"/>
    <x v="1"/>
    <n v="4"/>
    <x v="1"/>
    <s v="Route C"/>
    <n v="404"/>
  </r>
  <r>
    <x v="1"/>
    <s v="SKU37"/>
    <n v="23"/>
    <n v="5"/>
    <n v="963"/>
    <n v="2438"/>
    <x v="1"/>
    <n v="25"/>
    <n v="8"/>
    <n v="21"/>
    <n v="9"/>
    <s v="Carrier A"/>
    <n v="2"/>
    <x v="0"/>
    <x v="1"/>
    <n v="24"/>
    <n v="867"/>
    <n v="15"/>
    <n v="34"/>
    <x v="0"/>
    <n v="3"/>
    <x v="3"/>
    <s v="Route A"/>
    <n v="184"/>
  </r>
  <r>
    <x v="2"/>
    <s v="SKU38"/>
    <n v="52"/>
    <n v="75"/>
    <n v="705"/>
    <n v="9692"/>
    <x v="0"/>
    <n v="69"/>
    <n v="1"/>
    <n v="88"/>
    <n v="5"/>
    <s v="Carrier B"/>
    <n v="9"/>
    <x v="2"/>
    <x v="0"/>
    <n v="10"/>
    <n v="841"/>
    <n v="12"/>
    <n v="6"/>
    <x v="0"/>
    <n v="1"/>
    <x v="1"/>
    <s v="Route B"/>
    <n v="340"/>
  </r>
  <r>
    <x v="1"/>
    <s v="SKU39"/>
    <n v="19"/>
    <n v="26"/>
    <n v="176"/>
    <n v="1912"/>
    <x v="1"/>
    <n v="78"/>
    <n v="29"/>
    <n v="34"/>
    <n v="3"/>
    <s v="Carrier A"/>
    <n v="6"/>
    <x v="4"/>
    <x v="1"/>
    <n v="30"/>
    <n v="791"/>
    <n v="6"/>
    <n v="9"/>
    <x v="1"/>
    <n v="1"/>
    <x v="1"/>
    <s v="Route B"/>
    <n v="654"/>
  </r>
  <r>
    <x v="1"/>
    <s v="SKU40"/>
    <n v="81"/>
    <n v="97"/>
    <n v="933"/>
    <n v="5725"/>
    <x v="1"/>
    <n v="90"/>
    <n v="20"/>
    <n v="39"/>
    <n v="8"/>
    <s v="Carrier C"/>
    <n v="7"/>
    <x v="1"/>
    <x v="1"/>
    <n v="18"/>
    <n v="793"/>
    <n v="1"/>
    <n v="88"/>
    <x v="0"/>
    <n v="4"/>
    <x v="0"/>
    <s v="Route A"/>
    <n v="530"/>
  </r>
  <r>
    <x v="1"/>
    <s v="SKU41"/>
    <n v="99"/>
    <n v="35"/>
    <n v="556"/>
    <n v="5521"/>
    <x v="1"/>
    <n v="64"/>
    <n v="19"/>
    <n v="38"/>
    <n v="8"/>
    <s v="Carrier B"/>
    <n v="6"/>
    <x v="3"/>
    <x v="4"/>
    <n v="18"/>
    <n v="892"/>
    <n v="7"/>
    <n v="95"/>
    <x v="1"/>
    <n v="0"/>
    <x v="3"/>
    <s v="Route A"/>
    <n v="276"/>
  </r>
  <r>
    <x v="1"/>
    <s v="SKU42"/>
    <n v="47"/>
    <n v="98"/>
    <n v="155"/>
    <n v="1840"/>
    <x v="1"/>
    <n v="22"/>
    <n v="27"/>
    <n v="57"/>
    <n v="4"/>
    <s v="Carrier C"/>
    <n v="8"/>
    <x v="2"/>
    <x v="3"/>
    <n v="26"/>
    <n v="179"/>
    <n v="7"/>
    <n v="96"/>
    <x v="1"/>
    <n v="5"/>
    <x v="0"/>
    <s v="Route A"/>
    <n v="636"/>
  </r>
  <r>
    <x v="0"/>
    <s v="SKU43"/>
    <n v="12"/>
    <n v="6"/>
    <n v="598"/>
    <n v="5737"/>
    <x v="2"/>
    <n v="36"/>
    <n v="29"/>
    <n v="85"/>
    <n v="9"/>
    <s v="Carrier B"/>
    <n v="4"/>
    <x v="2"/>
    <x v="0"/>
    <n v="1"/>
    <n v="206"/>
    <n v="23"/>
    <n v="26"/>
    <x v="0"/>
    <n v="0"/>
    <x v="1"/>
    <s v="Route A"/>
    <n v="716"/>
  </r>
  <r>
    <x v="2"/>
    <s v="SKU44"/>
    <n v="51"/>
    <n v="34"/>
    <n v="919"/>
    <n v="7152"/>
    <x v="1"/>
    <n v="13"/>
    <n v="19"/>
    <n v="72"/>
    <n v="6"/>
    <s v="Carrier C"/>
    <n v="8"/>
    <x v="4"/>
    <x v="2"/>
    <n v="7"/>
    <n v="834"/>
    <n v="18"/>
    <n v="23"/>
    <x v="1"/>
    <n v="3"/>
    <x v="2"/>
    <s v="Route A"/>
    <n v="610"/>
  </r>
  <r>
    <x v="0"/>
    <s v="SKU45"/>
    <n v="34"/>
    <n v="1"/>
    <n v="24"/>
    <n v="5268"/>
    <x v="3"/>
    <n v="93"/>
    <n v="7"/>
    <n v="52"/>
    <n v="6"/>
    <s v="Carrier B"/>
    <n v="5"/>
    <x v="4"/>
    <x v="4"/>
    <n v="25"/>
    <n v="794"/>
    <n v="25"/>
    <n v="66"/>
    <x v="2"/>
    <n v="3"/>
    <x v="2"/>
    <s v="Route A"/>
    <n v="495"/>
  </r>
  <r>
    <x v="0"/>
    <s v="SKU46"/>
    <n v="27"/>
    <n v="75"/>
    <n v="859"/>
    <n v="2557"/>
    <x v="0"/>
    <n v="92"/>
    <n v="29"/>
    <n v="6"/>
    <n v="8"/>
    <s v="Carrier B"/>
    <n v="4"/>
    <x v="0"/>
    <x v="4"/>
    <n v="18"/>
    <n v="870"/>
    <n v="23"/>
    <n v="77"/>
    <x v="0"/>
    <n v="4"/>
    <x v="0"/>
    <s v="Route B"/>
    <n v="380"/>
  </r>
  <r>
    <x v="1"/>
    <s v="SKU47"/>
    <n v="96"/>
    <n v="93"/>
    <n v="910"/>
    <n v="7089"/>
    <x v="3"/>
    <n v="4"/>
    <n v="15"/>
    <n v="51"/>
    <n v="9"/>
    <s v="Carrier B"/>
    <n v="9"/>
    <x v="1"/>
    <x v="1"/>
    <n v="10"/>
    <n v="964"/>
    <n v="20"/>
    <n v="20"/>
    <x v="0"/>
    <n v="0"/>
    <x v="2"/>
    <s v="Route A"/>
    <n v="582"/>
  </r>
  <r>
    <x v="0"/>
    <s v="SKU48"/>
    <n v="76"/>
    <n v="28"/>
    <n v="29"/>
    <n v="7397"/>
    <x v="0"/>
    <n v="30"/>
    <n v="16"/>
    <n v="9"/>
    <n v="3"/>
    <s v="Carrier C"/>
    <n v="7"/>
    <x v="4"/>
    <x v="0"/>
    <n v="9"/>
    <n v="109"/>
    <n v="18"/>
    <n v="23"/>
    <x v="1"/>
    <n v="2"/>
    <x v="2"/>
    <s v="Route B"/>
    <n v="769"/>
  </r>
  <r>
    <x v="2"/>
    <s v="SKU49"/>
    <n v="79"/>
    <n v="19"/>
    <n v="99"/>
    <n v="8002"/>
    <x v="2"/>
    <n v="97"/>
    <n v="24"/>
    <n v="9"/>
    <n v="6"/>
    <s v="Carrier C"/>
    <n v="3"/>
    <x v="2"/>
    <x v="2"/>
    <n v="28"/>
    <n v="177"/>
    <n v="28"/>
    <n v="14"/>
    <x v="2"/>
    <n v="3"/>
    <x v="2"/>
    <s v="Route A"/>
    <n v="337"/>
  </r>
  <r>
    <x v="2"/>
    <s v="SKU50"/>
    <n v="14"/>
    <n v="91"/>
    <n v="633"/>
    <n v="5911"/>
    <x v="1"/>
    <n v="31"/>
    <n v="23"/>
    <n v="82"/>
    <n v="10"/>
    <s v="Carrier A"/>
    <n v="6"/>
    <x v="4"/>
    <x v="2"/>
    <n v="20"/>
    <n v="306"/>
    <n v="21"/>
    <n v="45"/>
    <x v="1"/>
    <n v="5"/>
    <x v="2"/>
    <s v="Route B"/>
    <n v="496"/>
  </r>
  <r>
    <x v="0"/>
    <s v="SKU51"/>
    <n v="27"/>
    <n v="61"/>
    <n v="154"/>
    <n v="9866"/>
    <x v="3"/>
    <n v="100"/>
    <n v="4"/>
    <n v="52"/>
    <n v="1"/>
    <s v="Carrier A"/>
    <n v="5"/>
    <x v="2"/>
    <x v="3"/>
    <n v="18"/>
    <n v="673"/>
    <n v="28"/>
    <n v="14"/>
    <x v="0"/>
    <n v="2"/>
    <x v="0"/>
    <s v="Route A"/>
    <n v="695"/>
  </r>
  <r>
    <x v="1"/>
    <s v="SKU52"/>
    <n v="98"/>
    <n v="1"/>
    <n v="820"/>
    <n v="9436"/>
    <x v="3"/>
    <n v="64"/>
    <n v="11"/>
    <n v="11"/>
    <n v="1"/>
    <s v="Carrier B"/>
    <n v="9"/>
    <x v="1"/>
    <x v="0"/>
    <n v="10"/>
    <n v="727"/>
    <n v="27"/>
    <n v="9"/>
    <x v="0"/>
    <n v="2"/>
    <x v="1"/>
    <s v="Route C"/>
    <n v="603"/>
  </r>
  <r>
    <x v="1"/>
    <s v="SKU53"/>
    <n v="30"/>
    <n v="93"/>
    <n v="242"/>
    <n v="8232"/>
    <x v="3"/>
    <n v="96"/>
    <n v="25"/>
    <n v="54"/>
    <n v="3"/>
    <s v="Carrier B"/>
    <n v="1"/>
    <x v="1"/>
    <x v="2"/>
    <n v="1"/>
    <n v="631"/>
    <n v="17"/>
    <n v="83"/>
    <x v="0"/>
    <n v="1"/>
    <x v="1"/>
    <s v="Route B"/>
    <n v="751"/>
  </r>
  <r>
    <x v="0"/>
    <s v="SKU54"/>
    <n v="31"/>
    <n v="11"/>
    <n v="622"/>
    <n v="6088"/>
    <x v="0"/>
    <n v="33"/>
    <n v="22"/>
    <n v="61"/>
    <n v="3"/>
    <s v="Carrier B"/>
    <n v="4"/>
    <x v="1"/>
    <x v="1"/>
    <n v="26"/>
    <n v="497"/>
    <n v="29"/>
    <n v="30"/>
    <x v="2"/>
    <n v="2"/>
    <x v="0"/>
    <s v="Route B"/>
    <n v="814"/>
  </r>
  <r>
    <x v="0"/>
    <s v="SKU55"/>
    <n v="80"/>
    <n v="16"/>
    <n v="701"/>
    <n v="2926"/>
    <x v="3"/>
    <n v="97"/>
    <n v="11"/>
    <n v="11"/>
    <n v="5"/>
    <s v="Carrier A"/>
    <n v="5"/>
    <x v="4"/>
    <x v="2"/>
    <n v="27"/>
    <n v="918"/>
    <n v="5"/>
    <n v="30"/>
    <x v="1"/>
    <n v="5"/>
    <x v="3"/>
    <s v="Route B"/>
    <n v="323"/>
  </r>
  <r>
    <x v="1"/>
    <s v="SKU56"/>
    <n v="21"/>
    <n v="90"/>
    <n v="93"/>
    <n v="4767"/>
    <x v="0"/>
    <n v="25"/>
    <n v="23"/>
    <n v="83"/>
    <n v="5"/>
    <s v="Carrier C"/>
    <n v="2"/>
    <x v="1"/>
    <x v="0"/>
    <n v="24"/>
    <n v="826"/>
    <n v="28"/>
    <n v="13"/>
    <x v="2"/>
    <n v="1"/>
    <x v="1"/>
    <s v="Route B"/>
    <n v="832"/>
  </r>
  <r>
    <x v="0"/>
    <s v="SKU57"/>
    <n v="49"/>
    <n v="65"/>
    <n v="227"/>
    <n v="1606"/>
    <x v="2"/>
    <n v="5"/>
    <n v="18"/>
    <n v="51"/>
    <n v="1"/>
    <s v="Carrier B"/>
    <n v="9"/>
    <x v="4"/>
    <x v="2"/>
    <n v="21"/>
    <n v="588"/>
    <n v="25"/>
    <n v="68"/>
    <x v="0"/>
    <n v="3"/>
    <x v="2"/>
    <s v="Route A"/>
    <n v="482"/>
  </r>
  <r>
    <x v="1"/>
    <s v="SKU58"/>
    <n v="60"/>
    <n v="81"/>
    <n v="896"/>
    <n v="2021"/>
    <x v="0"/>
    <n v="10"/>
    <n v="5"/>
    <n v="44"/>
    <n v="7"/>
    <s v="Carrier A"/>
    <n v="5"/>
    <x v="0"/>
    <x v="2"/>
    <n v="18"/>
    <n v="396"/>
    <n v="7"/>
    <n v="65"/>
    <x v="1"/>
    <n v="2"/>
    <x v="0"/>
    <s v="Route B"/>
    <n v="110"/>
  </r>
  <r>
    <x v="2"/>
    <s v="SKU59"/>
    <n v="64"/>
    <n v="30"/>
    <n v="484"/>
    <n v="1062"/>
    <x v="0"/>
    <n v="100"/>
    <n v="16"/>
    <n v="26"/>
    <n v="7"/>
    <s v="Carrier B"/>
    <n v="7"/>
    <x v="1"/>
    <x v="1"/>
    <n v="11"/>
    <n v="176"/>
    <n v="4"/>
    <n v="2"/>
    <x v="1"/>
    <n v="0"/>
    <x v="1"/>
    <s v="Route A"/>
    <n v="313"/>
  </r>
  <r>
    <x v="1"/>
    <s v="SKU60"/>
    <n v="17"/>
    <n v="16"/>
    <n v="380"/>
    <n v="8864"/>
    <x v="1"/>
    <n v="41"/>
    <n v="27"/>
    <n v="72"/>
    <n v="8"/>
    <s v="Carrier C"/>
    <n v="4"/>
    <x v="3"/>
    <x v="0"/>
    <n v="29"/>
    <n v="929"/>
    <n v="24"/>
    <n v="87"/>
    <x v="1"/>
    <n v="3"/>
    <x v="2"/>
    <s v="Route A"/>
    <n v="430"/>
  </r>
  <r>
    <x v="0"/>
    <s v="SKU61"/>
    <n v="52"/>
    <n v="23"/>
    <n v="117"/>
    <n v="6886"/>
    <x v="2"/>
    <n v="32"/>
    <n v="23"/>
    <n v="36"/>
    <n v="7"/>
    <s v="Carrier C"/>
    <n v="9"/>
    <x v="3"/>
    <x v="1"/>
    <n v="14"/>
    <n v="480"/>
    <n v="12"/>
    <n v="79"/>
    <x v="1"/>
    <n v="4"/>
    <x v="1"/>
    <s v="Route A"/>
    <n v="164"/>
  </r>
  <r>
    <x v="2"/>
    <s v="SKU62"/>
    <n v="73"/>
    <n v="89"/>
    <n v="270"/>
    <n v="3900"/>
    <x v="2"/>
    <n v="86"/>
    <n v="2"/>
    <n v="40"/>
    <n v="7"/>
    <s v="Carrier C"/>
    <n v="7"/>
    <x v="4"/>
    <x v="0"/>
    <n v="13"/>
    <n v="751"/>
    <n v="14"/>
    <n v="21"/>
    <x v="2"/>
    <n v="2"/>
    <x v="3"/>
    <s v="Route C"/>
    <n v="321"/>
  </r>
  <r>
    <x v="1"/>
    <s v="SKU63"/>
    <n v="13"/>
    <n v="55"/>
    <n v="246"/>
    <n v="4257"/>
    <x v="0"/>
    <n v="54"/>
    <n v="19"/>
    <n v="10"/>
    <n v="4"/>
    <s v="Carrier A"/>
    <n v="2"/>
    <x v="0"/>
    <x v="3"/>
    <n v="18"/>
    <n v="736"/>
    <n v="10"/>
    <n v="20"/>
    <x v="0"/>
    <n v="4"/>
    <x v="3"/>
    <s v="Route A"/>
    <n v="687"/>
  </r>
  <r>
    <x v="1"/>
    <s v="SKU64"/>
    <n v="90"/>
    <n v="11"/>
    <n v="134"/>
    <n v="8459"/>
    <x v="1"/>
    <n v="73"/>
    <n v="27"/>
    <n v="75"/>
    <n v="6"/>
    <s v="Carrier C"/>
    <n v="5"/>
    <x v="1"/>
    <x v="2"/>
    <n v="17"/>
    <n v="328"/>
    <n v="6"/>
    <n v="9"/>
    <x v="1"/>
    <n v="0"/>
    <x v="1"/>
    <s v="Route C"/>
    <n v="771"/>
  </r>
  <r>
    <x v="1"/>
    <s v="SKU65"/>
    <n v="34"/>
    <n v="72"/>
    <n v="457"/>
    <n v="8355"/>
    <x v="3"/>
    <n v="57"/>
    <n v="24"/>
    <n v="54"/>
    <n v="8"/>
    <s v="Carrier C"/>
    <n v="7"/>
    <x v="2"/>
    <x v="1"/>
    <n v="16"/>
    <n v="358"/>
    <n v="21"/>
    <n v="2"/>
    <x v="1"/>
    <n v="5"/>
    <x v="2"/>
    <s v="Route C"/>
    <n v="556"/>
  </r>
  <r>
    <x v="1"/>
    <s v="SKU66"/>
    <n v="26"/>
    <n v="52"/>
    <n v="704"/>
    <n v="8368"/>
    <x v="1"/>
    <n v="13"/>
    <n v="17"/>
    <n v="19"/>
    <n v="8"/>
    <s v="Carrier A"/>
    <n v="2"/>
    <x v="2"/>
    <x v="1"/>
    <n v="24"/>
    <n v="867"/>
    <n v="28"/>
    <n v="42"/>
    <x v="1"/>
    <n v="3"/>
    <x v="0"/>
    <s v="Route A"/>
    <n v="394"/>
  </r>
  <r>
    <x v="1"/>
    <s v="SKU67"/>
    <n v="88"/>
    <n v="16"/>
    <n v="513"/>
    <n v="9474"/>
    <x v="2"/>
    <n v="12"/>
    <n v="9"/>
    <n v="71"/>
    <n v="9"/>
    <s v="Carrier C"/>
    <n v="9"/>
    <x v="1"/>
    <x v="0"/>
    <n v="10"/>
    <n v="198"/>
    <n v="11"/>
    <n v="7"/>
    <x v="2"/>
    <n v="0"/>
    <x v="3"/>
    <s v="Route C"/>
    <n v="169"/>
  </r>
  <r>
    <x v="0"/>
    <s v="SKU68"/>
    <n v="38"/>
    <n v="29"/>
    <n v="163"/>
    <n v="3550"/>
    <x v="0"/>
    <n v="0"/>
    <n v="8"/>
    <n v="58"/>
    <n v="8"/>
    <s v="Carrier B"/>
    <n v="1"/>
    <x v="4"/>
    <x v="3"/>
    <n v="2"/>
    <n v="375"/>
    <n v="18"/>
    <n v="97"/>
    <x v="1"/>
    <n v="2"/>
    <x v="2"/>
    <s v="Route A"/>
    <n v="300"/>
  </r>
  <r>
    <x v="1"/>
    <s v="SKU69"/>
    <n v="55"/>
    <n v="62"/>
    <n v="511"/>
    <n v="1752"/>
    <x v="0"/>
    <n v="95"/>
    <n v="1"/>
    <n v="27"/>
    <n v="3"/>
    <s v="Carrier B"/>
    <n v="10"/>
    <x v="3"/>
    <x v="1"/>
    <n v="9"/>
    <n v="862"/>
    <n v="7"/>
    <n v="78"/>
    <x v="0"/>
    <n v="1"/>
    <x v="1"/>
    <s v="Route A"/>
    <n v="208"/>
  </r>
  <r>
    <x v="0"/>
    <s v="SKU70"/>
    <n v="48"/>
    <n v="90"/>
    <n v="32"/>
    <n v="7015"/>
    <x v="1"/>
    <n v="10"/>
    <n v="12"/>
    <n v="22"/>
    <n v="4"/>
    <s v="Carrier B"/>
    <n v="6"/>
    <x v="1"/>
    <x v="3"/>
    <n v="22"/>
    <n v="775"/>
    <n v="16"/>
    <n v="11"/>
    <x v="2"/>
    <n v="2"/>
    <x v="0"/>
    <s v="Route C"/>
    <n v="183"/>
  </r>
  <r>
    <x v="2"/>
    <s v="SKU71"/>
    <n v="6"/>
    <n v="14"/>
    <n v="637"/>
    <n v="8180"/>
    <x v="1"/>
    <n v="76"/>
    <n v="2"/>
    <n v="26"/>
    <n v="6"/>
    <s v="Carrier A"/>
    <n v="9"/>
    <x v="4"/>
    <x v="3"/>
    <n v="2"/>
    <n v="258"/>
    <n v="10"/>
    <n v="31"/>
    <x v="0"/>
    <n v="2"/>
    <x v="0"/>
    <s v="Route A"/>
    <n v="405"/>
  </r>
  <r>
    <x v="2"/>
    <s v="SKU72"/>
    <n v="90"/>
    <n v="88"/>
    <n v="478"/>
    <n v="2633"/>
    <x v="0"/>
    <n v="57"/>
    <n v="29"/>
    <n v="77"/>
    <n v="9"/>
    <s v="Carrier A"/>
    <n v="7"/>
    <x v="1"/>
    <x v="3"/>
    <n v="21"/>
    <n v="152"/>
    <n v="11"/>
    <n v="56"/>
    <x v="0"/>
    <n v="3"/>
    <x v="2"/>
    <s v="Route B"/>
    <n v="678"/>
  </r>
  <r>
    <x v="2"/>
    <s v="SKU73"/>
    <n v="84"/>
    <n v="41"/>
    <n v="375"/>
    <n v="7911"/>
    <x v="3"/>
    <n v="17"/>
    <n v="25"/>
    <n v="66"/>
    <n v="5"/>
    <s v="Carrier B"/>
    <n v="2"/>
    <x v="3"/>
    <x v="4"/>
    <n v="13"/>
    <n v="444"/>
    <n v="4"/>
    <n v="47"/>
    <x v="1"/>
    <n v="5"/>
    <x v="0"/>
    <s v="Route A"/>
    <n v="866"/>
  </r>
  <r>
    <x v="0"/>
    <s v="SKU74"/>
    <n v="3"/>
    <n v="64"/>
    <n v="904"/>
    <n v="5710"/>
    <x v="1"/>
    <n v="41"/>
    <n v="6"/>
    <n v="1"/>
    <n v="5"/>
    <s v="Carrier A"/>
    <n v="5"/>
    <x v="3"/>
    <x v="2"/>
    <n v="1"/>
    <n v="919"/>
    <n v="9"/>
    <n v="81"/>
    <x v="1"/>
    <n v="0"/>
    <x v="2"/>
    <s v="Route A"/>
    <n v="342"/>
  </r>
  <r>
    <x v="1"/>
    <s v="SKU75"/>
    <n v="93"/>
    <n v="29"/>
    <n v="106"/>
    <n v="1889"/>
    <x v="0"/>
    <n v="16"/>
    <n v="20"/>
    <n v="56"/>
    <n v="10"/>
    <s v="Carrier C"/>
    <n v="2"/>
    <x v="1"/>
    <x v="4"/>
    <n v="25"/>
    <n v="759"/>
    <n v="11"/>
    <n v="48"/>
    <x v="2"/>
    <n v="2"/>
    <x v="1"/>
    <s v="Route C"/>
    <n v="873"/>
  </r>
  <r>
    <x v="0"/>
    <s v="SKU76"/>
    <n v="69"/>
    <n v="23"/>
    <n v="241"/>
    <n v="5328"/>
    <x v="3"/>
    <n v="38"/>
    <n v="1"/>
    <n v="22"/>
    <n v="10"/>
    <s v="Carrier A"/>
    <n v="7"/>
    <x v="4"/>
    <x v="3"/>
    <n v="25"/>
    <n v="985"/>
    <n v="24"/>
    <n v="64"/>
    <x v="0"/>
    <n v="2"/>
    <x v="2"/>
    <s v="Route A"/>
    <n v="997"/>
  </r>
  <r>
    <x v="0"/>
    <s v="SKU77"/>
    <n v="57"/>
    <n v="14"/>
    <n v="359"/>
    <n v="2484"/>
    <x v="2"/>
    <n v="96"/>
    <n v="28"/>
    <n v="57"/>
    <n v="4"/>
    <s v="Carrier B"/>
    <n v="7"/>
    <x v="1"/>
    <x v="1"/>
    <n v="26"/>
    <n v="334"/>
    <n v="5"/>
    <n v="43"/>
    <x v="2"/>
    <n v="3"/>
    <x v="0"/>
    <s v="Route B"/>
    <n v="853"/>
  </r>
  <r>
    <x v="0"/>
    <s v="SKU78"/>
    <n v="6"/>
    <n v="50"/>
    <n v="946"/>
    <n v="1292"/>
    <x v="2"/>
    <n v="5"/>
    <n v="4"/>
    <n v="51"/>
    <n v="5"/>
    <s v="Carrier B"/>
    <n v="8"/>
    <x v="2"/>
    <x v="0"/>
    <n v="25"/>
    <n v="858"/>
    <n v="21"/>
    <n v="71"/>
    <x v="0"/>
    <n v="4"/>
    <x v="3"/>
    <s v="Route C"/>
    <n v="324"/>
  </r>
  <r>
    <x v="0"/>
    <s v="SKU79"/>
    <n v="57"/>
    <n v="56"/>
    <n v="198"/>
    <n v="7889"/>
    <x v="0"/>
    <n v="31"/>
    <n v="25"/>
    <n v="20"/>
    <n v="1"/>
    <s v="Carrier B"/>
    <n v="6"/>
    <x v="0"/>
    <x v="3"/>
    <n v="5"/>
    <n v="228"/>
    <n v="12"/>
    <n v="58"/>
    <x v="0"/>
    <n v="0"/>
    <x v="1"/>
    <s v="Route C"/>
    <n v="352"/>
  </r>
  <r>
    <x v="1"/>
    <s v="SKU80"/>
    <n v="91"/>
    <n v="75"/>
    <n v="872"/>
    <n v="8652"/>
    <x v="2"/>
    <n v="39"/>
    <n v="14"/>
    <n v="41"/>
    <n v="2"/>
    <s v="Carrier C"/>
    <n v="3"/>
    <x v="0"/>
    <x v="4"/>
    <n v="8"/>
    <n v="202"/>
    <n v="5"/>
    <n v="77"/>
    <x v="1"/>
    <n v="3"/>
    <x v="3"/>
    <s v="Route B"/>
    <n v="788"/>
  </r>
  <r>
    <x v="0"/>
    <s v="SKU81"/>
    <n v="73"/>
    <n v="9"/>
    <n v="774"/>
    <n v="4384"/>
    <x v="2"/>
    <n v="48"/>
    <n v="6"/>
    <n v="8"/>
    <n v="5"/>
    <s v="Carrier B"/>
    <n v="4"/>
    <x v="0"/>
    <x v="2"/>
    <n v="28"/>
    <n v="698"/>
    <n v="1"/>
    <n v="20"/>
    <x v="0"/>
    <n v="3"/>
    <x v="2"/>
    <s v="Route B"/>
    <n v="277"/>
  </r>
  <r>
    <x v="1"/>
    <s v="SKU82"/>
    <n v="17"/>
    <n v="13"/>
    <n v="336"/>
    <n v="2943"/>
    <x v="2"/>
    <n v="42"/>
    <n v="19"/>
    <n v="72"/>
    <n v="1"/>
    <s v="Carrier A"/>
    <n v="5"/>
    <x v="4"/>
    <x v="0"/>
    <n v="6"/>
    <n v="955"/>
    <n v="26"/>
    <n v="4"/>
    <x v="0"/>
    <n v="4"/>
    <x v="0"/>
    <s v="Route C"/>
    <n v="590"/>
  </r>
  <r>
    <x v="0"/>
    <s v="SKU83"/>
    <n v="69"/>
    <n v="82"/>
    <n v="663"/>
    <n v="2412"/>
    <x v="2"/>
    <n v="65"/>
    <n v="24"/>
    <n v="7"/>
    <n v="8"/>
    <s v="Carrier B"/>
    <n v="5"/>
    <x v="1"/>
    <x v="3"/>
    <n v="20"/>
    <n v="443"/>
    <n v="5"/>
    <n v="98"/>
    <x v="1"/>
    <n v="1"/>
    <x v="0"/>
    <s v="Route A"/>
    <n v="683"/>
  </r>
  <r>
    <x v="0"/>
    <s v="SKU84"/>
    <n v="89"/>
    <n v="99"/>
    <n v="618"/>
    <n v="2048"/>
    <x v="2"/>
    <n v="73"/>
    <n v="26"/>
    <n v="80"/>
    <n v="10"/>
    <s v="Carrier A"/>
    <n v="8"/>
    <x v="2"/>
    <x v="4"/>
    <n v="24"/>
    <n v="589"/>
    <n v="22"/>
    <n v="34"/>
    <x v="2"/>
    <n v="5"/>
    <x v="1"/>
    <s v="Route B"/>
    <n v="465"/>
  </r>
  <r>
    <x v="2"/>
    <s v="SKU85"/>
    <n v="77"/>
    <n v="83"/>
    <n v="25"/>
    <n v="8685"/>
    <x v="1"/>
    <n v="15"/>
    <n v="18"/>
    <n v="66"/>
    <n v="2"/>
    <s v="Carrier C"/>
    <n v="8"/>
    <x v="2"/>
    <x v="4"/>
    <n v="4"/>
    <n v="211"/>
    <n v="2"/>
    <n v="70"/>
    <x v="1"/>
    <n v="1"/>
    <x v="0"/>
    <s v="Route B"/>
    <n v="843"/>
  </r>
  <r>
    <x v="1"/>
    <s v="SKU86"/>
    <n v="20"/>
    <n v="18"/>
    <n v="223"/>
    <n v="1230"/>
    <x v="2"/>
    <n v="32"/>
    <n v="14"/>
    <n v="22"/>
    <n v="6"/>
    <s v="Carrier B"/>
    <n v="1"/>
    <x v="1"/>
    <x v="0"/>
    <n v="4"/>
    <n v="569"/>
    <n v="18"/>
    <n v="75"/>
    <x v="2"/>
    <n v="2"/>
    <x v="2"/>
    <s v="Route A"/>
    <n v="264"/>
  </r>
  <r>
    <x v="0"/>
    <s v="SKU87"/>
    <n v="80"/>
    <n v="24"/>
    <n v="79"/>
    <n v="5134"/>
    <x v="3"/>
    <n v="5"/>
    <n v="7"/>
    <n v="55"/>
    <n v="10"/>
    <s v="Carrier A"/>
    <n v="7"/>
    <x v="0"/>
    <x v="4"/>
    <n v="27"/>
    <n v="523"/>
    <n v="17"/>
    <n v="29"/>
    <x v="1"/>
    <n v="4"/>
    <x v="3"/>
    <s v="Route B"/>
    <n v="879"/>
  </r>
  <r>
    <x v="2"/>
    <s v="SKU88"/>
    <n v="75"/>
    <n v="58"/>
    <n v="737"/>
    <n v="9445"/>
    <x v="3"/>
    <n v="60"/>
    <n v="18"/>
    <n v="85"/>
    <n v="7"/>
    <s v="Carrier A"/>
    <n v="4"/>
    <x v="4"/>
    <x v="0"/>
    <n v="21"/>
    <n v="953"/>
    <n v="11"/>
    <n v="68"/>
    <x v="0"/>
    <n v="1"/>
    <x v="3"/>
    <s v="Route A"/>
    <n v="104"/>
  </r>
  <r>
    <x v="2"/>
    <s v="SKU89"/>
    <n v="98"/>
    <n v="10"/>
    <n v="134"/>
    <n v="5925"/>
    <x v="2"/>
    <n v="90"/>
    <n v="1"/>
    <n v="27"/>
    <n v="8"/>
    <s v="Carrier B"/>
    <n v="10"/>
    <x v="1"/>
    <x v="1"/>
    <n v="23"/>
    <n v="370"/>
    <n v="11"/>
    <n v="47"/>
    <x v="0"/>
    <n v="2"/>
    <x v="2"/>
    <s v="Route B"/>
    <n v="517"/>
  </r>
  <r>
    <x v="1"/>
    <s v="SKU90"/>
    <n v="14"/>
    <n v="56"/>
    <n v="320"/>
    <n v="9593"/>
    <x v="0"/>
    <n v="66"/>
    <n v="18"/>
    <n v="96"/>
    <n v="7"/>
    <s v="Carrier B"/>
    <n v="8"/>
    <x v="0"/>
    <x v="3"/>
    <n v="8"/>
    <n v="585"/>
    <n v="8"/>
    <n v="86"/>
    <x v="2"/>
    <n v="1"/>
    <x v="2"/>
    <s v="Route B"/>
    <n v="990"/>
  </r>
  <r>
    <x v="2"/>
    <s v="SKU91"/>
    <n v="62"/>
    <n v="90"/>
    <n v="916"/>
    <n v="1935"/>
    <x v="3"/>
    <n v="98"/>
    <n v="22"/>
    <n v="85"/>
    <n v="7"/>
    <s v="Carrier B"/>
    <n v="7"/>
    <x v="3"/>
    <x v="2"/>
    <n v="5"/>
    <n v="207"/>
    <n v="28"/>
    <n v="40"/>
    <x v="0"/>
    <n v="1"/>
    <x v="2"/>
    <s v="Route B"/>
    <n v="997"/>
  </r>
  <r>
    <x v="2"/>
    <s v="SKU92"/>
    <n v="48"/>
    <n v="44"/>
    <n v="276"/>
    <n v="2100"/>
    <x v="3"/>
    <n v="90"/>
    <n v="25"/>
    <n v="10"/>
    <n v="8"/>
    <s v="Carrier B"/>
    <n v="4"/>
    <x v="4"/>
    <x v="0"/>
    <n v="4"/>
    <n v="671"/>
    <n v="29"/>
    <n v="63"/>
    <x v="2"/>
    <n v="0"/>
    <x v="2"/>
    <s v="Route B"/>
    <n v="230"/>
  </r>
  <r>
    <x v="0"/>
    <s v="SKU93"/>
    <n v="69"/>
    <n v="88"/>
    <n v="114"/>
    <n v="4531"/>
    <x v="2"/>
    <n v="63"/>
    <n v="17"/>
    <n v="66"/>
    <n v="1"/>
    <s v="Carrier C"/>
    <n v="7"/>
    <x v="3"/>
    <x v="4"/>
    <n v="21"/>
    <n v="824"/>
    <n v="20"/>
    <n v="36"/>
    <x v="1"/>
    <n v="4"/>
    <x v="1"/>
    <s v="Route A"/>
    <n v="824"/>
  </r>
  <r>
    <x v="2"/>
    <s v="SKU94"/>
    <n v="3"/>
    <n v="97"/>
    <n v="987"/>
    <n v="7888"/>
    <x v="2"/>
    <n v="77"/>
    <n v="26"/>
    <n v="72"/>
    <n v="9"/>
    <s v="Carrier B"/>
    <n v="7"/>
    <x v="4"/>
    <x v="2"/>
    <n v="12"/>
    <n v="908"/>
    <n v="14"/>
    <n v="60"/>
    <x v="2"/>
    <n v="1"/>
    <x v="2"/>
    <s v="Route B"/>
    <n v="847"/>
  </r>
  <r>
    <x v="0"/>
    <s v="SKU95"/>
    <n v="78"/>
    <n v="65"/>
    <n v="672"/>
    <n v="7386"/>
    <x v="2"/>
    <n v="15"/>
    <n v="14"/>
    <n v="26"/>
    <n v="9"/>
    <s v="Carrier B"/>
    <n v="9"/>
    <x v="3"/>
    <x v="0"/>
    <n v="18"/>
    <n v="450"/>
    <n v="26"/>
    <n v="59"/>
    <x v="0"/>
    <n v="1"/>
    <x v="1"/>
    <s v="Route A"/>
    <n v="779"/>
  </r>
  <r>
    <x v="2"/>
    <s v="SKU96"/>
    <n v="24"/>
    <n v="29"/>
    <n v="324"/>
    <n v="7698"/>
    <x v="0"/>
    <n v="67"/>
    <n v="2"/>
    <n v="32"/>
    <n v="3"/>
    <s v="Carrier C"/>
    <n v="5"/>
    <x v="0"/>
    <x v="0"/>
    <n v="28"/>
    <n v="648"/>
    <n v="28"/>
    <n v="18"/>
    <x v="0"/>
    <n v="4"/>
    <x v="0"/>
    <s v="Route A"/>
    <n v="189"/>
  </r>
  <r>
    <x v="0"/>
    <s v="SKU97"/>
    <n v="4"/>
    <n v="56"/>
    <n v="62"/>
    <n v="4371"/>
    <x v="3"/>
    <n v="46"/>
    <n v="19"/>
    <n v="4"/>
    <n v="9"/>
    <s v="Carrier A"/>
    <n v="8"/>
    <x v="3"/>
    <x v="0"/>
    <n v="10"/>
    <n v="535"/>
    <n v="13"/>
    <n v="66"/>
    <x v="1"/>
    <n v="3"/>
    <x v="0"/>
    <s v="Route A"/>
    <n v="540"/>
  </r>
  <r>
    <x v="1"/>
    <s v="SKU98"/>
    <n v="20"/>
    <n v="43"/>
    <n v="913"/>
    <n v="8526"/>
    <x v="1"/>
    <n v="53"/>
    <n v="1"/>
    <n v="27"/>
    <n v="7"/>
    <s v="Carrier B"/>
    <n v="1"/>
    <x v="2"/>
    <x v="4"/>
    <n v="28"/>
    <n v="581"/>
    <n v="9"/>
    <n v="6"/>
    <x v="0"/>
    <n v="3"/>
    <x v="2"/>
    <s v="Route A"/>
    <n v="882"/>
  </r>
  <r>
    <x v="0"/>
    <s v="SKU99"/>
    <n v="69"/>
    <n v="17"/>
    <n v="627"/>
    <n v="9185"/>
    <x v="2"/>
    <n v="55"/>
    <n v="8"/>
    <n v="59"/>
    <n v="6"/>
    <s v="Carrier B"/>
    <n v="1"/>
    <x v="4"/>
    <x v="4"/>
    <n v="29"/>
    <n v="921"/>
    <n v="2"/>
    <n v="38"/>
    <x v="1"/>
    <n v="0"/>
    <x v="2"/>
    <s v="Route B"/>
    <n v="2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3E4372-688A-4316-9C25-D4A8280B2CC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0" firstHeaderRow="1" firstDataRow="2" firstDataCol="1"/>
  <pivotFields count="24"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2">
    <field x="0"/>
    <field x="6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21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 generate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BA65F6-5487-4163-A671-58B90155638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5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6">
        <item x="1"/>
        <item x="4"/>
        <item x="0"/>
        <item x="3"/>
        <item x="2"/>
        <item t="default"/>
      </items>
    </pivotField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2">
    <field x="14"/>
    <field x="19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hipping cost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E8DA65-D9F8-4D16-8C02-338208A998ED}" autoFormatId="16" applyNumberFormats="0" applyBorderFormats="0" applyFontFormats="0" applyPatternFormats="0" applyAlignmentFormats="0" applyWidthHeightFormats="0">
  <queryTableRefresh nextId="25">
    <queryTableFields count="24">
      <queryTableField id="1" name="Product type" tableColumnId="1"/>
      <queryTableField id="2" name="SKU" tableColumnId="2"/>
      <queryTableField id="3" name="Price" tableColumnId="3"/>
      <queryTableField id="4" name="Availability" tableColumnId="4"/>
      <queryTableField id="5" name="Number of products sold" tableColumnId="5"/>
      <queryTableField id="6" name="Revenue generated" tableColumnId="6"/>
      <queryTableField id="7" name="Customer demographics" tableColumnId="7"/>
      <queryTableField id="8" name="Stock levels" tableColumnId="8"/>
      <queryTableField id="9" name="Lead times" tableColumnId="9"/>
      <queryTableField id="10" name="Order quantities" tableColumnId="10"/>
      <queryTableField id="11" name="Shipping times" tableColumnId="11"/>
      <queryTableField id="12" name="Shipping carriers" tableColumnId="12"/>
      <queryTableField id="13" name="Shipping costs" tableColumnId="13"/>
      <queryTableField id="14" name="Supplier name" tableColumnId="14"/>
      <queryTableField id="15" name="Location" tableColumnId="15"/>
      <queryTableField id="16" name="Lead time" tableColumnId="16"/>
      <queryTableField id="17" name="Production volumes" tableColumnId="17"/>
      <queryTableField id="18" name="Manufacturing lead time" tableColumnId="18"/>
      <queryTableField id="19" name="Manufacturing costs" tableColumnId="19"/>
      <queryTableField id="20" name="Inspection results" tableColumnId="20"/>
      <queryTableField id="21" name="Defect rates" tableColumnId="21"/>
      <queryTableField id="22" name="Transportation modes" tableColumnId="22"/>
      <queryTableField id="23" name="Routes" tableColumnId="23"/>
      <queryTableField id="24" name="Costs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37DFE0-5C58-49DA-AA48-ED817B62B170}" name="Supply_chain_data" displayName="Supply_chain_data" ref="A1:X101" tableType="queryTable" totalsRowShown="0">
  <autoFilter ref="A1:X101" xr:uid="{7237DFE0-5C58-49DA-AA48-ED817B62B170}"/>
  <tableColumns count="24">
    <tableColumn id="1" xr3:uid="{6B2F6823-FFEA-4800-8C17-B0AAE123737E}" uniqueName="1" name="Product type" queryTableFieldId="1" dataDxfId="8"/>
    <tableColumn id="2" xr3:uid="{4598F082-3C1F-4DFC-8219-1C0CF1F61760}" uniqueName="2" name="SKU" queryTableFieldId="2" dataDxfId="7"/>
    <tableColumn id="3" xr3:uid="{9918D192-A73F-44BE-97EE-1025C6A6C215}" uniqueName="3" name="Price" queryTableFieldId="3"/>
    <tableColumn id="4" xr3:uid="{B486B072-DC66-4CC1-932E-7CA4631C5C09}" uniqueName="4" name="Availability" queryTableFieldId="4"/>
    <tableColumn id="5" xr3:uid="{57FB8994-F5B6-49DD-8C7B-456DEA6157D7}" uniqueName="5" name="Number of products sold" queryTableFieldId="5"/>
    <tableColumn id="6" xr3:uid="{C371F84E-F927-4B48-AF2C-745391A4C1C4}" uniqueName="6" name="Revenue generated" queryTableFieldId="6"/>
    <tableColumn id="7" xr3:uid="{79E674CD-5B98-43DC-8358-7A31B54263FB}" uniqueName="7" name="Customer demographics" queryTableFieldId="7" dataDxfId="6"/>
    <tableColumn id="8" xr3:uid="{516C18E6-5B79-4F87-A2D0-C5F85D175FF3}" uniqueName="8" name="Stock levels" queryTableFieldId="8"/>
    <tableColumn id="9" xr3:uid="{9E85EEB0-111D-4D37-BB56-9E0B6F86CA7F}" uniqueName="9" name="Lead times" queryTableFieldId="9"/>
    <tableColumn id="10" xr3:uid="{CA980DC3-4B3C-4E07-8C4B-9B914A34A0C1}" uniqueName="10" name="Order quantities" queryTableFieldId="10"/>
    <tableColumn id="11" xr3:uid="{086E68AF-513D-484A-AD32-AD79FA32FAB1}" uniqueName="11" name="Shipping times" queryTableFieldId="11"/>
    <tableColumn id="12" xr3:uid="{7878A79C-350E-43FB-B8C4-F318B84A31AA}" uniqueName="12" name="Shipping carriers" queryTableFieldId="12" dataDxfId="5"/>
    <tableColumn id="13" xr3:uid="{D110B454-8272-4B25-A350-46F6DB5DD4DD}" uniqueName="13" name="Shipping costs" queryTableFieldId="13"/>
    <tableColumn id="14" xr3:uid="{EA0B5ACC-382C-4C23-B430-619FEB3A1963}" uniqueName="14" name="Supplier name" queryTableFieldId="14" dataDxfId="4"/>
    <tableColumn id="15" xr3:uid="{36F3D4B0-DD41-48A3-B169-B01E93326645}" uniqueName="15" name="Location" queryTableFieldId="15" dataDxfId="3"/>
    <tableColumn id="16" xr3:uid="{590E18C1-1417-4C95-A98C-889D055AB0CB}" uniqueName="16" name="Lead time" queryTableFieldId="16"/>
    <tableColumn id="17" xr3:uid="{D9D826BB-042B-4245-A24F-91051D7F0641}" uniqueName="17" name="Production volumes" queryTableFieldId="17"/>
    <tableColumn id="18" xr3:uid="{52D660C1-6EE7-47FB-9E32-A9F8148B323E}" uniqueName="18" name="Manufacturing lead time" queryTableFieldId="18"/>
    <tableColumn id="19" xr3:uid="{F15A3E6E-F156-4979-884E-AE00E890BA03}" uniqueName="19" name="Manufacturing costs" queryTableFieldId="19"/>
    <tableColumn id="20" xr3:uid="{3A45BFDC-7DFF-464C-9A71-179D5F434C44}" uniqueName="20" name="Inspection results" queryTableFieldId="20" dataDxfId="2"/>
    <tableColumn id="21" xr3:uid="{37A10433-8B0E-4B74-8DA4-E72B09006CCC}" uniqueName="21" name="Defect rates" queryTableFieldId="21"/>
    <tableColumn id="22" xr3:uid="{D833EAEE-20DF-497E-88A1-3C01CF464000}" uniqueName="22" name="Transportation modes" queryTableFieldId="22" dataDxfId="1"/>
    <tableColumn id="23" xr3:uid="{632645B8-748E-4769-8C73-A0ED7DB80992}" uniqueName="23" name="Routes" queryTableFieldId="23" dataDxfId="0"/>
    <tableColumn id="24" xr3:uid="{D411C1F1-85F3-4E9A-8051-E6BFFCC624D0}" uniqueName="24" name="Costs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B9F8-3364-41D7-83C9-6477CFE602C8}">
  <dimension ref="A1:X101"/>
  <sheetViews>
    <sheetView tabSelected="1" zoomScale="106" workbookViewId="0"/>
  </sheetViews>
  <sheetFormatPr defaultRowHeight="14.4" x14ac:dyDescent="0.3"/>
  <cols>
    <col min="1" max="1" width="13.77734375" bestFit="1" customWidth="1"/>
    <col min="2" max="2" width="6.6640625" bestFit="1" customWidth="1"/>
    <col min="3" max="3" width="7.5546875" bestFit="1" customWidth="1"/>
    <col min="4" max="4" width="12.6640625" bestFit="1" customWidth="1"/>
    <col min="5" max="5" width="23.88671875" bestFit="1" customWidth="1"/>
    <col min="6" max="6" width="19" bestFit="1" customWidth="1"/>
    <col min="7" max="7" width="23.88671875" bestFit="1" customWidth="1"/>
    <col min="8" max="8" width="13.21875" bestFit="1" customWidth="1"/>
    <col min="9" max="9" width="12.33203125" bestFit="1" customWidth="1"/>
    <col min="10" max="10" width="16.88671875" bestFit="1" customWidth="1"/>
    <col min="11" max="11" width="15.77734375" bestFit="1" customWidth="1"/>
    <col min="12" max="12" width="17.44140625" bestFit="1" customWidth="1"/>
    <col min="13" max="14" width="15.44140625" bestFit="1" customWidth="1"/>
    <col min="15" max="15" width="10.33203125" bestFit="1" customWidth="1"/>
    <col min="16" max="16" width="11.44140625" bestFit="1" customWidth="1"/>
    <col min="17" max="17" width="19.88671875" bestFit="1" customWidth="1"/>
    <col min="18" max="18" width="23.5546875" bestFit="1" customWidth="1"/>
    <col min="19" max="19" width="20" bestFit="1" customWidth="1"/>
    <col min="20" max="20" width="18.109375" bestFit="1" customWidth="1"/>
    <col min="21" max="21" width="13.21875" bestFit="1" customWidth="1"/>
    <col min="22" max="22" width="21.5546875" bestFit="1" customWidth="1"/>
    <col min="24" max="24" width="7.8867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70</v>
      </c>
      <c r="D2">
        <v>55</v>
      </c>
      <c r="E2">
        <v>802</v>
      </c>
      <c r="F2">
        <v>8662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3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</v>
      </c>
      <c r="T2" t="s">
        <v>30</v>
      </c>
      <c r="U2">
        <v>0</v>
      </c>
      <c r="V2" t="s">
        <v>31</v>
      </c>
      <c r="W2" t="s">
        <v>32</v>
      </c>
      <c r="X2">
        <v>188</v>
      </c>
    </row>
    <row r="3" spans="1:24" x14ac:dyDescent="0.3">
      <c r="A3" t="s">
        <v>33</v>
      </c>
      <c r="B3" t="s">
        <v>34</v>
      </c>
      <c r="C3">
        <v>15</v>
      </c>
      <c r="D3">
        <v>95</v>
      </c>
      <c r="E3">
        <v>736</v>
      </c>
      <c r="F3">
        <v>7461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10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34</v>
      </c>
      <c r="T3" t="s">
        <v>30</v>
      </c>
      <c r="U3">
        <v>5</v>
      </c>
      <c r="V3" t="s">
        <v>31</v>
      </c>
      <c r="W3" t="s">
        <v>32</v>
      </c>
      <c r="X3">
        <v>503</v>
      </c>
    </row>
    <row r="4" spans="1:24" x14ac:dyDescent="0.3">
      <c r="A4" t="s">
        <v>24</v>
      </c>
      <c r="B4" t="s">
        <v>37</v>
      </c>
      <c r="C4">
        <v>11</v>
      </c>
      <c r="D4">
        <v>34</v>
      </c>
      <c r="E4">
        <v>8</v>
      </c>
      <c r="F4">
        <v>9578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31</v>
      </c>
      <c r="T4" t="s">
        <v>30</v>
      </c>
      <c r="U4">
        <v>5</v>
      </c>
      <c r="V4" t="s">
        <v>40</v>
      </c>
      <c r="W4" t="s">
        <v>41</v>
      </c>
      <c r="X4">
        <v>142</v>
      </c>
    </row>
    <row r="5" spans="1:24" x14ac:dyDescent="0.3">
      <c r="A5" t="s">
        <v>33</v>
      </c>
      <c r="B5" t="s">
        <v>42</v>
      </c>
      <c r="C5">
        <v>61</v>
      </c>
      <c r="D5">
        <v>68</v>
      </c>
      <c r="E5">
        <v>83</v>
      </c>
      <c r="F5">
        <v>7767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2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36</v>
      </c>
      <c r="T5" t="s">
        <v>46</v>
      </c>
      <c r="U5">
        <v>5</v>
      </c>
      <c r="V5" t="s">
        <v>47</v>
      </c>
      <c r="W5" t="s">
        <v>48</v>
      </c>
      <c r="X5">
        <v>255</v>
      </c>
    </row>
    <row r="6" spans="1:24" x14ac:dyDescent="0.3">
      <c r="A6" t="s">
        <v>33</v>
      </c>
      <c r="B6" t="s">
        <v>49</v>
      </c>
      <c r="C6">
        <v>5</v>
      </c>
      <c r="D6">
        <v>26</v>
      </c>
      <c r="E6">
        <v>871</v>
      </c>
      <c r="F6">
        <v>2687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4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</v>
      </c>
      <c r="T6" t="s">
        <v>46</v>
      </c>
      <c r="U6">
        <v>3</v>
      </c>
      <c r="V6" t="s">
        <v>40</v>
      </c>
      <c r="W6" t="s">
        <v>48</v>
      </c>
      <c r="X6">
        <v>923</v>
      </c>
    </row>
    <row r="7" spans="1:24" x14ac:dyDescent="0.3">
      <c r="A7" t="s">
        <v>24</v>
      </c>
      <c r="B7" t="s">
        <v>51</v>
      </c>
      <c r="C7">
        <v>2</v>
      </c>
      <c r="D7">
        <v>87</v>
      </c>
      <c r="E7">
        <v>147</v>
      </c>
      <c r="F7">
        <v>2828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57</v>
      </c>
      <c r="T7" t="s">
        <v>46</v>
      </c>
      <c r="U7">
        <v>3</v>
      </c>
      <c r="V7" t="s">
        <v>31</v>
      </c>
      <c r="W7" t="s">
        <v>48</v>
      </c>
      <c r="X7">
        <v>235</v>
      </c>
    </row>
    <row r="8" spans="1:24" x14ac:dyDescent="0.3">
      <c r="A8" t="s">
        <v>33</v>
      </c>
      <c r="B8" t="s">
        <v>54</v>
      </c>
      <c r="C8">
        <v>4</v>
      </c>
      <c r="D8">
        <v>48</v>
      </c>
      <c r="E8">
        <v>65</v>
      </c>
      <c r="F8">
        <v>7823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4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</v>
      </c>
      <c r="T8" t="s">
        <v>30</v>
      </c>
      <c r="U8">
        <v>1</v>
      </c>
      <c r="V8" t="s">
        <v>56</v>
      </c>
      <c r="W8" t="s">
        <v>48</v>
      </c>
      <c r="X8">
        <v>134</v>
      </c>
    </row>
    <row r="9" spans="1:24" x14ac:dyDescent="0.3">
      <c r="A9" t="s">
        <v>57</v>
      </c>
      <c r="B9" t="s">
        <v>58</v>
      </c>
      <c r="C9">
        <v>43</v>
      </c>
      <c r="D9">
        <v>59</v>
      </c>
      <c r="E9">
        <v>426</v>
      </c>
      <c r="F9">
        <v>8496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</v>
      </c>
      <c r="T9" t="s">
        <v>46</v>
      </c>
      <c r="U9">
        <v>0</v>
      </c>
      <c r="V9" t="s">
        <v>31</v>
      </c>
      <c r="W9" t="s">
        <v>41</v>
      </c>
      <c r="X9">
        <v>802</v>
      </c>
    </row>
    <row r="10" spans="1:24" x14ac:dyDescent="0.3">
      <c r="A10" t="s">
        <v>57</v>
      </c>
      <c r="B10" t="s">
        <v>59</v>
      </c>
      <c r="C10">
        <v>69</v>
      </c>
      <c r="D10">
        <v>78</v>
      </c>
      <c r="E10">
        <v>150</v>
      </c>
      <c r="F10">
        <v>7517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</v>
      </c>
      <c r="T10" t="s">
        <v>30</v>
      </c>
      <c r="U10">
        <v>3</v>
      </c>
      <c r="V10" t="s">
        <v>56</v>
      </c>
      <c r="W10" t="s">
        <v>32</v>
      </c>
      <c r="X10">
        <v>506</v>
      </c>
    </row>
    <row r="11" spans="1:24" x14ac:dyDescent="0.3">
      <c r="A11" t="s">
        <v>33</v>
      </c>
      <c r="B11" t="s">
        <v>60</v>
      </c>
      <c r="C11">
        <v>64</v>
      </c>
      <c r="D11">
        <v>35</v>
      </c>
      <c r="E11">
        <v>980</v>
      </c>
      <c r="F11">
        <v>4971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48</v>
      </c>
      <c r="T11" t="s">
        <v>30</v>
      </c>
      <c r="U11">
        <v>4</v>
      </c>
      <c r="V11" t="s">
        <v>47</v>
      </c>
      <c r="W11" t="s">
        <v>32</v>
      </c>
      <c r="X11">
        <v>996</v>
      </c>
    </row>
    <row r="12" spans="1:24" x14ac:dyDescent="0.3">
      <c r="A12" t="s">
        <v>33</v>
      </c>
      <c r="B12" t="s">
        <v>63</v>
      </c>
      <c r="C12">
        <v>16</v>
      </c>
      <c r="D12">
        <v>11</v>
      </c>
      <c r="E12">
        <v>996</v>
      </c>
      <c r="F12">
        <v>2331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9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97</v>
      </c>
      <c r="T12" t="s">
        <v>64</v>
      </c>
      <c r="U12">
        <v>2</v>
      </c>
      <c r="V12" t="s">
        <v>31</v>
      </c>
      <c r="W12" t="s">
        <v>32</v>
      </c>
      <c r="X12">
        <v>806</v>
      </c>
    </row>
    <row r="13" spans="1:24" x14ac:dyDescent="0.3">
      <c r="A13" t="s">
        <v>33</v>
      </c>
      <c r="B13" t="s">
        <v>65</v>
      </c>
      <c r="C13">
        <v>91</v>
      </c>
      <c r="D13">
        <v>95</v>
      </c>
      <c r="E13">
        <v>960</v>
      </c>
      <c r="F13">
        <v>6100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5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28</v>
      </c>
      <c r="T13" t="s">
        <v>30</v>
      </c>
      <c r="U13">
        <v>0</v>
      </c>
      <c r="V13" t="s">
        <v>40</v>
      </c>
      <c r="W13" t="s">
        <v>48</v>
      </c>
      <c r="X13">
        <v>127</v>
      </c>
    </row>
    <row r="14" spans="1:24" x14ac:dyDescent="0.3">
      <c r="A14" t="s">
        <v>24</v>
      </c>
      <c r="B14" t="s">
        <v>66</v>
      </c>
      <c r="C14">
        <v>71</v>
      </c>
      <c r="D14">
        <v>41</v>
      </c>
      <c r="E14">
        <v>336</v>
      </c>
      <c r="F14">
        <v>2874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</v>
      </c>
      <c r="T14" t="s">
        <v>46</v>
      </c>
      <c r="U14">
        <v>2</v>
      </c>
      <c r="V14" t="s">
        <v>31</v>
      </c>
      <c r="W14" t="s">
        <v>32</v>
      </c>
      <c r="X14">
        <v>403</v>
      </c>
    </row>
    <row r="15" spans="1:24" x14ac:dyDescent="0.3">
      <c r="A15" t="s">
        <v>33</v>
      </c>
      <c r="B15" t="s">
        <v>67</v>
      </c>
      <c r="C15">
        <v>16</v>
      </c>
      <c r="D15">
        <v>5</v>
      </c>
      <c r="E15">
        <v>249</v>
      </c>
      <c r="F15">
        <v>4053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10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98</v>
      </c>
      <c r="T15" t="s">
        <v>30</v>
      </c>
      <c r="U15">
        <v>2</v>
      </c>
      <c r="V15" t="s">
        <v>31</v>
      </c>
      <c r="W15" t="s">
        <v>32</v>
      </c>
      <c r="X15">
        <v>547</v>
      </c>
    </row>
    <row r="16" spans="1:24" x14ac:dyDescent="0.3">
      <c r="A16" t="s">
        <v>33</v>
      </c>
      <c r="B16" t="s">
        <v>68</v>
      </c>
      <c r="C16">
        <v>99</v>
      </c>
      <c r="D16">
        <v>26</v>
      </c>
      <c r="E16">
        <v>562</v>
      </c>
      <c r="F16">
        <v>8654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6</v>
      </c>
      <c r="T16" t="s">
        <v>30</v>
      </c>
      <c r="U16">
        <v>0</v>
      </c>
      <c r="V16" t="s">
        <v>40</v>
      </c>
      <c r="W16" t="s">
        <v>32</v>
      </c>
      <c r="X16">
        <v>929</v>
      </c>
    </row>
    <row r="17" spans="1:24" x14ac:dyDescent="0.3">
      <c r="A17" t="s">
        <v>33</v>
      </c>
      <c r="B17" t="s">
        <v>69</v>
      </c>
      <c r="C17">
        <v>37</v>
      </c>
      <c r="D17">
        <v>94</v>
      </c>
      <c r="E17">
        <v>469</v>
      </c>
      <c r="F17">
        <v>5442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</v>
      </c>
      <c r="T17" t="s">
        <v>64</v>
      </c>
      <c r="U17">
        <v>2</v>
      </c>
      <c r="V17" t="s">
        <v>56</v>
      </c>
      <c r="W17" t="s">
        <v>32</v>
      </c>
      <c r="X17">
        <v>128</v>
      </c>
    </row>
    <row r="18" spans="1:24" x14ac:dyDescent="0.3">
      <c r="A18" t="s">
        <v>33</v>
      </c>
      <c r="B18" t="s">
        <v>70</v>
      </c>
      <c r="C18">
        <v>8</v>
      </c>
      <c r="D18">
        <v>74</v>
      </c>
      <c r="E18">
        <v>280</v>
      </c>
      <c r="F18">
        <v>6454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</v>
      </c>
      <c r="T18" t="s">
        <v>64</v>
      </c>
      <c r="U18">
        <v>1</v>
      </c>
      <c r="V18" t="s">
        <v>40</v>
      </c>
      <c r="W18" t="s">
        <v>48</v>
      </c>
      <c r="X18">
        <v>866</v>
      </c>
    </row>
    <row r="19" spans="1:24" x14ac:dyDescent="0.3">
      <c r="A19" t="s">
        <v>57</v>
      </c>
      <c r="B19" t="s">
        <v>71</v>
      </c>
      <c r="C19">
        <v>81</v>
      </c>
      <c r="D19">
        <v>82</v>
      </c>
      <c r="E19">
        <v>126</v>
      </c>
      <c r="F19">
        <v>2629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4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48</v>
      </c>
      <c r="T19" t="s">
        <v>46</v>
      </c>
      <c r="U19">
        <v>0</v>
      </c>
      <c r="V19" t="s">
        <v>40</v>
      </c>
      <c r="W19" t="s">
        <v>41</v>
      </c>
      <c r="X19">
        <v>671</v>
      </c>
    </row>
    <row r="20" spans="1:24" x14ac:dyDescent="0.3">
      <c r="A20" t="s">
        <v>24</v>
      </c>
      <c r="B20" t="s">
        <v>72</v>
      </c>
      <c r="C20">
        <v>36</v>
      </c>
      <c r="D20">
        <v>23</v>
      </c>
      <c r="E20">
        <v>620</v>
      </c>
      <c r="F20">
        <v>9365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</v>
      </c>
      <c r="T20" t="s">
        <v>30</v>
      </c>
      <c r="U20">
        <v>2</v>
      </c>
      <c r="V20" t="s">
        <v>56</v>
      </c>
      <c r="W20" t="s">
        <v>48</v>
      </c>
      <c r="X20">
        <v>593</v>
      </c>
    </row>
    <row r="21" spans="1:24" x14ac:dyDescent="0.3">
      <c r="A21" t="s">
        <v>33</v>
      </c>
      <c r="B21" t="s">
        <v>73</v>
      </c>
      <c r="C21">
        <v>51</v>
      </c>
      <c r="D21">
        <v>100</v>
      </c>
      <c r="E21">
        <v>187</v>
      </c>
      <c r="F21">
        <v>2553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5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</v>
      </c>
      <c r="T21" t="s">
        <v>46</v>
      </c>
      <c r="U21">
        <v>4</v>
      </c>
      <c r="V21" t="s">
        <v>31</v>
      </c>
      <c r="W21" t="s">
        <v>41</v>
      </c>
      <c r="X21">
        <v>477</v>
      </c>
    </row>
    <row r="22" spans="1:24" x14ac:dyDescent="0.3">
      <c r="A22" t="s">
        <v>33</v>
      </c>
      <c r="B22" t="s">
        <v>74</v>
      </c>
      <c r="C22">
        <v>96</v>
      </c>
      <c r="D22">
        <v>22</v>
      </c>
      <c r="E22">
        <v>320</v>
      </c>
      <c r="F22">
        <v>8128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9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66</v>
      </c>
      <c r="T22" t="s">
        <v>64</v>
      </c>
      <c r="U22">
        <v>4</v>
      </c>
      <c r="V22" t="s">
        <v>40</v>
      </c>
      <c r="W22" t="s">
        <v>32</v>
      </c>
      <c r="X22">
        <v>494</v>
      </c>
    </row>
    <row r="23" spans="1:24" x14ac:dyDescent="0.3">
      <c r="A23" t="s">
        <v>57</v>
      </c>
      <c r="B23" t="s">
        <v>75</v>
      </c>
      <c r="C23">
        <v>85</v>
      </c>
      <c r="D23">
        <v>60</v>
      </c>
      <c r="E23">
        <v>601</v>
      </c>
      <c r="F23">
        <v>7087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62</v>
      </c>
      <c r="T23" t="s">
        <v>30</v>
      </c>
      <c r="U23">
        <v>0</v>
      </c>
      <c r="V23" t="s">
        <v>40</v>
      </c>
      <c r="W23" t="s">
        <v>41</v>
      </c>
      <c r="X23">
        <v>523</v>
      </c>
    </row>
    <row r="24" spans="1:24" x14ac:dyDescent="0.3">
      <c r="A24" t="s">
        <v>24</v>
      </c>
      <c r="B24" t="s">
        <v>76</v>
      </c>
      <c r="C24">
        <v>28</v>
      </c>
      <c r="D24">
        <v>55</v>
      </c>
      <c r="E24">
        <v>884</v>
      </c>
      <c r="F24">
        <v>2391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10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</v>
      </c>
      <c r="T24" t="s">
        <v>46</v>
      </c>
      <c r="U24">
        <v>3</v>
      </c>
      <c r="V24" t="s">
        <v>47</v>
      </c>
      <c r="W24" t="s">
        <v>41</v>
      </c>
      <c r="X24">
        <v>206</v>
      </c>
    </row>
    <row r="25" spans="1:24" x14ac:dyDescent="0.3">
      <c r="A25" t="s">
        <v>57</v>
      </c>
      <c r="B25" t="s">
        <v>77</v>
      </c>
      <c r="C25">
        <v>4</v>
      </c>
      <c r="D25">
        <v>30</v>
      </c>
      <c r="E25">
        <v>391</v>
      </c>
      <c r="F25">
        <v>8858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3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99</v>
      </c>
      <c r="T25" t="s">
        <v>30</v>
      </c>
      <c r="U25">
        <v>1</v>
      </c>
      <c r="V25" t="s">
        <v>47</v>
      </c>
      <c r="W25" t="s">
        <v>48</v>
      </c>
      <c r="X25">
        <v>196</v>
      </c>
    </row>
    <row r="26" spans="1:24" x14ac:dyDescent="0.3">
      <c r="A26" t="s">
        <v>24</v>
      </c>
      <c r="B26" t="s">
        <v>78</v>
      </c>
      <c r="C26">
        <v>4</v>
      </c>
      <c r="D26">
        <v>32</v>
      </c>
      <c r="E26">
        <v>209</v>
      </c>
      <c r="F26">
        <v>9049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10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</v>
      </c>
      <c r="T26" t="s">
        <v>30</v>
      </c>
      <c r="U26">
        <v>4</v>
      </c>
      <c r="V26" t="s">
        <v>40</v>
      </c>
      <c r="W26" t="s">
        <v>48</v>
      </c>
      <c r="X26">
        <v>759</v>
      </c>
    </row>
    <row r="27" spans="1:24" x14ac:dyDescent="0.3">
      <c r="A27" t="s">
        <v>24</v>
      </c>
      <c r="B27" t="s">
        <v>79</v>
      </c>
      <c r="C27">
        <v>40</v>
      </c>
      <c r="D27">
        <v>73</v>
      </c>
      <c r="E27">
        <v>142</v>
      </c>
      <c r="F27">
        <v>2175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</v>
      </c>
      <c r="T27" t="s">
        <v>30</v>
      </c>
      <c r="U27">
        <v>4</v>
      </c>
      <c r="V27" t="s">
        <v>31</v>
      </c>
      <c r="W27" t="s">
        <v>32</v>
      </c>
      <c r="X27">
        <v>459</v>
      </c>
    </row>
    <row r="28" spans="1:24" x14ac:dyDescent="0.3">
      <c r="A28" t="s">
        <v>24</v>
      </c>
      <c r="B28" t="s">
        <v>80</v>
      </c>
      <c r="C28">
        <v>97</v>
      </c>
      <c r="D28">
        <v>9</v>
      </c>
      <c r="E28">
        <v>353</v>
      </c>
      <c r="F28">
        <v>3716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7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16</v>
      </c>
      <c r="T28" t="s">
        <v>64</v>
      </c>
      <c r="U28">
        <v>2</v>
      </c>
      <c r="V28" t="s">
        <v>47</v>
      </c>
      <c r="W28" t="s">
        <v>48</v>
      </c>
      <c r="X28">
        <v>618</v>
      </c>
    </row>
    <row r="29" spans="1:24" x14ac:dyDescent="0.3">
      <c r="A29" t="s">
        <v>57</v>
      </c>
      <c r="B29" t="s">
        <v>81</v>
      </c>
      <c r="C29">
        <v>93</v>
      </c>
      <c r="D29">
        <v>42</v>
      </c>
      <c r="E29">
        <v>352</v>
      </c>
      <c r="F29">
        <v>2686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11</v>
      </c>
      <c r="T29" t="s">
        <v>46</v>
      </c>
      <c r="U29">
        <v>3</v>
      </c>
      <c r="V29" t="s">
        <v>56</v>
      </c>
      <c r="W29" t="s">
        <v>32</v>
      </c>
      <c r="X29">
        <v>762</v>
      </c>
    </row>
    <row r="30" spans="1:24" x14ac:dyDescent="0.3">
      <c r="A30" t="s">
        <v>57</v>
      </c>
      <c r="B30" t="s">
        <v>82</v>
      </c>
      <c r="C30">
        <v>2</v>
      </c>
      <c r="D30">
        <v>12</v>
      </c>
      <c r="E30">
        <v>394</v>
      </c>
      <c r="F30">
        <v>6117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10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</v>
      </c>
      <c r="T30" t="s">
        <v>46</v>
      </c>
      <c r="U30">
        <v>1</v>
      </c>
      <c r="V30" t="s">
        <v>40</v>
      </c>
      <c r="W30" t="s">
        <v>48</v>
      </c>
      <c r="X30">
        <v>123</v>
      </c>
    </row>
    <row r="31" spans="1:24" x14ac:dyDescent="0.3">
      <c r="A31" t="s">
        <v>57</v>
      </c>
      <c r="B31" t="s">
        <v>83</v>
      </c>
      <c r="C31">
        <v>63</v>
      </c>
      <c r="D31">
        <v>3</v>
      </c>
      <c r="E31">
        <v>253</v>
      </c>
      <c r="F31">
        <v>8319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</v>
      </c>
      <c r="T31" t="s">
        <v>64</v>
      </c>
      <c r="U31">
        <v>4</v>
      </c>
      <c r="V31" t="s">
        <v>31</v>
      </c>
      <c r="W31" t="s">
        <v>32</v>
      </c>
      <c r="X31">
        <v>765</v>
      </c>
    </row>
    <row r="32" spans="1:24" x14ac:dyDescent="0.3">
      <c r="A32" t="s">
        <v>24</v>
      </c>
      <c r="B32" t="s">
        <v>84</v>
      </c>
      <c r="C32">
        <v>8</v>
      </c>
      <c r="D32">
        <v>10</v>
      </c>
      <c r="E32">
        <v>327</v>
      </c>
      <c r="F32">
        <v>2766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9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52</v>
      </c>
      <c r="T32" t="s">
        <v>30</v>
      </c>
      <c r="U32">
        <v>1</v>
      </c>
      <c r="V32" t="s">
        <v>31</v>
      </c>
      <c r="W32" t="s">
        <v>41</v>
      </c>
      <c r="X32">
        <v>880</v>
      </c>
    </row>
    <row r="33" spans="1:24" x14ac:dyDescent="0.3">
      <c r="A33" t="s">
        <v>33</v>
      </c>
      <c r="B33" t="s">
        <v>85</v>
      </c>
      <c r="C33">
        <v>51</v>
      </c>
      <c r="D33">
        <v>28</v>
      </c>
      <c r="E33">
        <v>168</v>
      </c>
      <c r="F33">
        <v>9655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3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</v>
      </c>
      <c r="T33" t="s">
        <v>30</v>
      </c>
      <c r="U33">
        <v>3</v>
      </c>
      <c r="V33" t="s">
        <v>47</v>
      </c>
      <c r="W33" t="s">
        <v>41</v>
      </c>
      <c r="X33">
        <v>609</v>
      </c>
    </row>
    <row r="34" spans="1:24" x14ac:dyDescent="0.3">
      <c r="A34" t="s">
        <v>33</v>
      </c>
      <c r="B34" t="s">
        <v>86</v>
      </c>
      <c r="C34">
        <v>79</v>
      </c>
      <c r="D34">
        <v>43</v>
      </c>
      <c r="E34">
        <v>781</v>
      </c>
      <c r="F34">
        <v>9572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7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30</v>
      </c>
      <c r="T34" t="s">
        <v>64</v>
      </c>
      <c r="U34">
        <v>2</v>
      </c>
      <c r="V34" t="s">
        <v>31</v>
      </c>
      <c r="W34" t="s">
        <v>48</v>
      </c>
      <c r="X34">
        <v>761</v>
      </c>
    </row>
    <row r="35" spans="1:24" x14ac:dyDescent="0.3">
      <c r="A35" t="s">
        <v>57</v>
      </c>
      <c r="B35" t="s">
        <v>87</v>
      </c>
      <c r="C35">
        <v>65</v>
      </c>
      <c r="D35">
        <v>63</v>
      </c>
      <c r="E35">
        <v>616</v>
      </c>
      <c r="F35">
        <v>5150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5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24</v>
      </c>
      <c r="T35" t="s">
        <v>46</v>
      </c>
      <c r="U35">
        <v>4</v>
      </c>
      <c r="V35" t="s">
        <v>56</v>
      </c>
      <c r="W35" t="s">
        <v>48</v>
      </c>
      <c r="X35">
        <v>371</v>
      </c>
    </row>
    <row r="36" spans="1:24" x14ac:dyDescent="0.3">
      <c r="A36" t="s">
        <v>33</v>
      </c>
      <c r="B36" t="s">
        <v>88</v>
      </c>
      <c r="C36">
        <v>37</v>
      </c>
      <c r="D36">
        <v>96</v>
      </c>
      <c r="E36">
        <v>602</v>
      </c>
      <c r="F36">
        <v>9062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11</v>
      </c>
      <c r="T36" t="s">
        <v>64</v>
      </c>
      <c r="U36">
        <v>1</v>
      </c>
      <c r="V36" t="s">
        <v>31</v>
      </c>
      <c r="W36" t="s">
        <v>32</v>
      </c>
      <c r="X36">
        <v>510</v>
      </c>
    </row>
    <row r="37" spans="1:24" x14ac:dyDescent="0.3">
      <c r="A37" t="s">
        <v>57</v>
      </c>
      <c r="B37" t="s">
        <v>89</v>
      </c>
      <c r="C37">
        <v>85</v>
      </c>
      <c r="D37">
        <v>11</v>
      </c>
      <c r="E37">
        <v>449</v>
      </c>
      <c r="F37">
        <v>6541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</v>
      </c>
      <c r="T37" t="s">
        <v>64</v>
      </c>
      <c r="U37">
        <v>1</v>
      </c>
      <c r="V37" t="s">
        <v>56</v>
      </c>
      <c r="W37" t="s">
        <v>41</v>
      </c>
      <c r="X37">
        <v>553</v>
      </c>
    </row>
    <row r="38" spans="1:24" x14ac:dyDescent="0.3">
      <c r="A38" t="s">
        <v>33</v>
      </c>
      <c r="B38" t="s">
        <v>90</v>
      </c>
      <c r="C38">
        <v>10</v>
      </c>
      <c r="D38">
        <v>34</v>
      </c>
      <c r="E38">
        <v>963</v>
      </c>
      <c r="F38">
        <v>7573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46</v>
      </c>
      <c r="T38" t="s">
        <v>46</v>
      </c>
      <c r="U38">
        <v>4</v>
      </c>
      <c r="V38" t="s">
        <v>40</v>
      </c>
      <c r="W38" t="s">
        <v>41</v>
      </c>
      <c r="X38">
        <v>404</v>
      </c>
    </row>
    <row r="39" spans="1:24" x14ac:dyDescent="0.3">
      <c r="A39" t="s">
        <v>33</v>
      </c>
      <c r="B39" t="s">
        <v>91</v>
      </c>
      <c r="C39">
        <v>23</v>
      </c>
      <c r="D39">
        <v>5</v>
      </c>
      <c r="E39">
        <v>963</v>
      </c>
      <c r="F39">
        <v>2438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2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</v>
      </c>
      <c r="T39" t="s">
        <v>30</v>
      </c>
      <c r="U39">
        <v>3</v>
      </c>
      <c r="V39" t="s">
        <v>56</v>
      </c>
      <c r="W39" t="s">
        <v>48</v>
      </c>
      <c r="X39">
        <v>184</v>
      </c>
    </row>
    <row r="40" spans="1:24" x14ac:dyDescent="0.3">
      <c r="A40" t="s">
        <v>57</v>
      </c>
      <c r="B40" t="s">
        <v>92</v>
      </c>
      <c r="C40">
        <v>52</v>
      </c>
      <c r="D40">
        <v>75</v>
      </c>
      <c r="E40">
        <v>705</v>
      </c>
      <c r="F40">
        <v>9692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6</v>
      </c>
      <c r="T40" t="s">
        <v>30</v>
      </c>
      <c r="U40">
        <v>1</v>
      </c>
      <c r="V40" t="s">
        <v>40</v>
      </c>
      <c r="W40" t="s">
        <v>32</v>
      </c>
      <c r="X40">
        <v>340</v>
      </c>
    </row>
    <row r="41" spans="1:24" x14ac:dyDescent="0.3">
      <c r="A41" t="s">
        <v>33</v>
      </c>
      <c r="B41" t="s">
        <v>93</v>
      </c>
      <c r="C41">
        <v>19</v>
      </c>
      <c r="D41">
        <v>26</v>
      </c>
      <c r="E41">
        <v>176</v>
      </c>
      <c r="F41">
        <v>1912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6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</v>
      </c>
      <c r="T41" t="s">
        <v>46</v>
      </c>
      <c r="U41">
        <v>1</v>
      </c>
      <c r="V41" t="s">
        <v>40</v>
      </c>
      <c r="W41" t="s">
        <v>32</v>
      </c>
      <c r="X41">
        <v>654</v>
      </c>
    </row>
    <row r="42" spans="1:24" x14ac:dyDescent="0.3">
      <c r="A42" t="s">
        <v>33</v>
      </c>
      <c r="B42" t="s">
        <v>94</v>
      </c>
      <c r="C42">
        <v>81</v>
      </c>
      <c r="D42">
        <v>97</v>
      </c>
      <c r="E42">
        <v>933</v>
      </c>
      <c r="F42">
        <v>5725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</v>
      </c>
      <c r="T42" t="s">
        <v>30</v>
      </c>
      <c r="U42">
        <v>4</v>
      </c>
      <c r="V42" t="s">
        <v>31</v>
      </c>
      <c r="W42" t="s">
        <v>48</v>
      </c>
      <c r="X42">
        <v>530</v>
      </c>
    </row>
    <row r="43" spans="1:24" x14ac:dyDescent="0.3">
      <c r="A43" t="s">
        <v>33</v>
      </c>
      <c r="B43" t="s">
        <v>95</v>
      </c>
      <c r="C43">
        <v>99</v>
      </c>
      <c r="D43">
        <v>35</v>
      </c>
      <c r="E43">
        <v>556</v>
      </c>
      <c r="F43">
        <v>5521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6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</v>
      </c>
      <c r="T43" t="s">
        <v>46</v>
      </c>
      <c r="U43">
        <v>0</v>
      </c>
      <c r="V43" t="s">
        <v>56</v>
      </c>
      <c r="W43" t="s">
        <v>48</v>
      </c>
      <c r="X43">
        <v>276</v>
      </c>
    </row>
    <row r="44" spans="1:24" x14ac:dyDescent="0.3">
      <c r="A44" t="s">
        <v>33</v>
      </c>
      <c r="B44" t="s">
        <v>96</v>
      </c>
      <c r="C44">
        <v>47</v>
      </c>
      <c r="D44">
        <v>98</v>
      </c>
      <c r="E44">
        <v>155</v>
      </c>
      <c r="F44">
        <v>1840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8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</v>
      </c>
      <c r="T44" t="s">
        <v>46</v>
      </c>
      <c r="U44">
        <v>5</v>
      </c>
      <c r="V44" t="s">
        <v>31</v>
      </c>
      <c r="W44" t="s">
        <v>48</v>
      </c>
      <c r="X44">
        <v>636</v>
      </c>
    </row>
    <row r="45" spans="1:24" x14ac:dyDescent="0.3">
      <c r="A45" t="s">
        <v>24</v>
      </c>
      <c r="B45" t="s">
        <v>97</v>
      </c>
      <c r="C45">
        <v>12</v>
      </c>
      <c r="D45">
        <v>6</v>
      </c>
      <c r="E45">
        <v>598</v>
      </c>
      <c r="F45">
        <v>5737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4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</v>
      </c>
      <c r="T45" t="s">
        <v>30</v>
      </c>
      <c r="U45">
        <v>0</v>
      </c>
      <c r="V45" t="s">
        <v>40</v>
      </c>
      <c r="W45" t="s">
        <v>48</v>
      </c>
      <c r="X45">
        <v>716</v>
      </c>
    </row>
    <row r="46" spans="1:24" x14ac:dyDescent="0.3">
      <c r="A46" t="s">
        <v>57</v>
      </c>
      <c r="B46" t="s">
        <v>98</v>
      </c>
      <c r="C46">
        <v>51</v>
      </c>
      <c r="D46">
        <v>34</v>
      </c>
      <c r="E46">
        <v>919</v>
      </c>
      <c r="F46">
        <v>7152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8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23</v>
      </c>
      <c r="T46" t="s">
        <v>46</v>
      </c>
      <c r="U46">
        <v>3</v>
      </c>
      <c r="V46" t="s">
        <v>47</v>
      </c>
      <c r="W46" t="s">
        <v>48</v>
      </c>
      <c r="X46">
        <v>610</v>
      </c>
    </row>
    <row r="47" spans="1:24" x14ac:dyDescent="0.3">
      <c r="A47" t="s">
        <v>24</v>
      </c>
      <c r="B47" t="s">
        <v>99</v>
      </c>
      <c r="C47">
        <v>34</v>
      </c>
      <c r="D47">
        <v>1</v>
      </c>
      <c r="E47">
        <v>24</v>
      </c>
      <c r="F47">
        <v>5268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</v>
      </c>
      <c r="T47" t="s">
        <v>64</v>
      </c>
      <c r="U47">
        <v>3</v>
      </c>
      <c r="V47" t="s">
        <v>47</v>
      </c>
      <c r="W47" t="s">
        <v>48</v>
      </c>
      <c r="X47">
        <v>495</v>
      </c>
    </row>
    <row r="48" spans="1:24" x14ac:dyDescent="0.3">
      <c r="A48" t="s">
        <v>24</v>
      </c>
      <c r="B48" t="s">
        <v>100</v>
      </c>
      <c r="C48">
        <v>27</v>
      </c>
      <c r="D48">
        <v>75</v>
      </c>
      <c r="E48">
        <v>859</v>
      </c>
      <c r="F48">
        <v>2557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</v>
      </c>
      <c r="T48" t="s">
        <v>30</v>
      </c>
      <c r="U48">
        <v>4</v>
      </c>
      <c r="V48" t="s">
        <v>31</v>
      </c>
      <c r="W48" t="s">
        <v>32</v>
      </c>
      <c r="X48">
        <v>380</v>
      </c>
    </row>
    <row r="49" spans="1:24" x14ac:dyDescent="0.3">
      <c r="A49" t="s">
        <v>33</v>
      </c>
      <c r="B49" t="s">
        <v>101</v>
      </c>
      <c r="C49">
        <v>96</v>
      </c>
      <c r="D49">
        <v>93</v>
      </c>
      <c r="E49">
        <v>910</v>
      </c>
      <c r="F49">
        <v>7089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20</v>
      </c>
      <c r="T49" t="s">
        <v>30</v>
      </c>
      <c r="U49">
        <v>0</v>
      </c>
      <c r="V49" t="s">
        <v>47</v>
      </c>
      <c r="W49" t="s">
        <v>48</v>
      </c>
      <c r="X49">
        <v>582</v>
      </c>
    </row>
    <row r="50" spans="1:24" x14ac:dyDescent="0.3">
      <c r="A50" t="s">
        <v>24</v>
      </c>
      <c r="B50" t="s">
        <v>102</v>
      </c>
      <c r="C50">
        <v>76</v>
      </c>
      <c r="D50">
        <v>28</v>
      </c>
      <c r="E50">
        <v>29</v>
      </c>
      <c r="F50">
        <v>7397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</v>
      </c>
      <c r="T50" t="s">
        <v>46</v>
      </c>
      <c r="U50">
        <v>2</v>
      </c>
      <c r="V50" t="s">
        <v>47</v>
      </c>
      <c r="W50" t="s">
        <v>32</v>
      </c>
      <c r="X50">
        <v>769</v>
      </c>
    </row>
    <row r="51" spans="1:24" x14ac:dyDescent="0.3">
      <c r="A51" t="s">
        <v>57</v>
      </c>
      <c r="B51" t="s">
        <v>103</v>
      </c>
      <c r="C51">
        <v>79</v>
      </c>
      <c r="D51">
        <v>19</v>
      </c>
      <c r="E51">
        <v>99</v>
      </c>
      <c r="F51">
        <v>8002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3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</v>
      </c>
      <c r="T51" t="s">
        <v>64</v>
      </c>
      <c r="U51">
        <v>3</v>
      </c>
      <c r="V51" t="s">
        <v>47</v>
      </c>
      <c r="W51" t="s">
        <v>48</v>
      </c>
      <c r="X51">
        <v>337</v>
      </c>
    </row>
    <row r="52" spans="1:24" x14ac:dyDescent="0.3">
      <c r="A52" t="s">
        <v>57</v>
      </c>
      <c r="B52" t="s">
        <v>104</v>
      </c>
      <c r="C52">
        <v>14</v>
      </c>
      <c r="D52">
        <v>91</v>
      </c>
      <c r="E52">
        <v>633</v>
      </c>
      <c r="F52">
        <v>5911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</v>
      </c>
      <c r="T52" t="s">
        <v>46</v>
      </c>
      <c r="U52">
        <v>5</v>
      </c>
      <c r="V52" t="s">
        <v>47</v>
      </c>
      <c r="W52" t="s">
        <v>32</v>
      </c>
      <c r="X52">
        <v>496</v>
      </c>
    </row>
    <row r="53" spans="1:24" x14ac:dyDescent="0.3">
      <c r="A53" t="s">
        <v>24</v>
      </c>
      <c r="B53" t="s">
        <v>105</v>
      </c>
      <c r="C53">
        <v>27</v>
      </c>
      <c r="D53">
        <v>61</v>
      </c>
      <c r="E53">
        <v>154</v>
      </c>
      <c r="F53">
        <v>9866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5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</v>
      </c>
      <c r="T53" t="s">
        <v>30</v>
      </c>
      <c r="U53">
        <v>2</v>
      </c>
      <c r="V53" t="s">
        <v>31</v>
      </c>
      <c r="W53" t="s">
        <v>48</v>
      </c>
      <c r="X53">
        <v>695</v>
      </c>
    </row>
    <row r="54" spans="1:24" x14ac:dyDescent="0.3">
      <c r="A54" t="s">
        <v>33</v>
      </c>
      <c r="B54" t="s">
        <v>106</v>
      </c>
      <c r="C54">
        <v>98</v>
      </c>
      <c r="D54">
        <v>1</v>
      </c>
      <c r="E54">
        <v>820</v>
      </c>
      <c r="F54">
        <v>9436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9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</v>
      </c>
      <c r="T54" t="s">
        <v>30</v>
      </c>
      <c r="U54">
        <v>2</v>
      </c>
      <c r="V54" t="s">
        <v>40</v>
      </c>
      <c r="W54" t="s">
        <v>41</v>
      </c>
      <c r="X54">
        <v>603</v>
      </c>
    </row>
    <row r="55" spans="1:24" x14ac:dyDescent="0.3">
      <c r="A55" t="s">
        <v>33</v>
      </c>
      <c r="B55" t="s">
        <v>107</v>
      </c>
      <c r="C55">
        <v>30</v>
      </c>
      <c r="D55">
        <v>93</v>
      </c>
      <c r="E55">
        <v>242</v>
      </c>
      <c r="F55">
        <v>8232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</v>
      </c>
      <c r="T55" t="s">
        <v>30</v>
      </c>
      <c r="U55">
        <v>1</v>
      </c>
      <c r="V55" t="s">
        <v>40</v>
      </c>
      <c r="W55" t="s">
        <v>32</v>
      </c>
      <c r="X55">
        <v>751</v>
      </c>
    </row>
    <row r="56" spans="1:24" x14ac:dyDescent="0.3">
      <c r="A56" t="s">
        <v>24</v>
      </c>
      <c r="B56" t="s">
        <v>108</v>
      </c>
      <c r="C56">
        <v>31</v>
      </c>
      <c r="D56">
        <v>11</v>
      </c>
      <c r="E56">
        <v>622</v>
      </c>
      <c r="F56">
        <v>6088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</v>
      </c>
      <c r="T56" t="s">
        <v>64</v>
      </c>
      <c r="U56">
        <v>2</v>
      </c>
      <c r="V56" t="s">
        <v>31</v>
      </c>
      <c r="W56" t="s">
        <v>32</v>
      </c>
      <c r="X56">
        <v>814</v>
      </c>
    </row>
    <row r="57" spans="1:24" x14ac:dyDescent="0.3">
      <c r="A57" t="s">
        <v>24</v>
      </c>
      <c r="B57" t="s">
        <v>109</v>
      </c>
      <c r="C57">
        <v>80</v>
      </c>
      <c r="D57">
        <v>16</v>
      </c>
      <c r="E57">
        <v>701</v>
      </c>
      <c r="F57">
        <v>2926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</v>
      </c>
      <c r="T57" t="s">
        <v>46</v>
      </c>
      <c r="U57">
        <v>5</v>
      </c>
      <c r="V57" t="s">
        <v>56</v>
      </c>
      <c r="W57" t="s">
        <v>32</v>
      </c>
      <c r="X57">
        <v>323</v>
      </c>
    </row>
    <row r="58" spans="1:24" x14ac:dyDescent="0.3">
      <c r="A58" t="s">
        <v>33</v>
      </c>
      <c r="B58" t="s">
        <v>110</v>
      </c>
      <c r="C58">
        <v>21</v>
      </c>
      <c r="D58">
        <v>90</v>
      </c>
      <c r="E58">
        <v>93</v>
      </c>
      <c r="F58">
        <v>4767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2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13</v>
      </c>
      <c r="T58" t="s">
        <v>64</v>
      </c>
      <c r="U58">
        <v>1</v>
      </c>
      <c r="V58" t="s">
        <v>40</v>
      </c>
      <c r="W58" t="s">
        <v>32</v>
      </c>
      <c r="X58">
        <v>832</v>
      </c>
    </row>
    <row r="59" spans="1:24" x14ac:dyDescent="0.3">
      <c r="A59" t="s">
        <v>24</v>
      </c>
      <c r="B59" t="s">
        <v>111</v>
      </c>
      <c r="C59">
        <v>49</v>
      </c>
      <c r="D59">
        <v>65</v>
      </c>
      <c r="E59">
        <v>227</v>
      </c>
      <c r="F59">
        <v>1606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68</v>
      </c>
      <c r="T59" t="s">
        <v>30</v>
      </c>
      <c r="U59">
        <v>3</v>
      </c>
      <c r="V59" t="s">
        <v>47</v>
      </c>
      <c r="W59" t="s">
        <v>48</v>
      </c>
      <c r="X59">
        <v>482</v>
      </c>
    </row>
    <row r="60" spans="1:24" x14ac:dyDescent="0.3">
      <c r="A60" t="s">
        <v>33</v>
      </c>
      <c r="B60" t="s">
        <v>112</v>
      </c>
      <c r="C60">
        <v>60</v>
      </c>
      <c r="D60">
        <v>81</v>
      </c>
      <c r="E60">
        <v>896</v>
      </c>
      <c r="F60">
        <v>2021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5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</v>
      </c>
      <c r="T60" t="s">
        <v>46</v>
      </c>
      <c r="U60">
        <v>2</v>
      </c>
      <c r="V60" t="s">
        <v>31</v>
      </c>
      <c r="W60" t="s">
        <v>32</v>
      </c>
      <c r="X60">
        <v>110</v>
      </c>
    </row>
    <row r="61" spans="1:24" x14ac:dyDescent="0.3">
      <c r="A61" t="s">
        <v>57</v>
      </c>
      <c r="B61" t="s">
        <v>113</v>
      </c>
      <c r="C61">
        <v>64</v>
      </c>
      <c r="D61">
        <v>30</v>
      </c>
      <c r="E61">
        <v>484</v>
      </c>
      <c r="F61">
        <v>1062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2</v>
      </c>
      <c r="T61" t="s">
        <v>46</v>
      </c>
      <c r="U61">
        <v>0</v>
      </c>
      <c r="V61" t="s">
        <v>40</v>
      </c>
      <c r="W61" t="s">
        <v>48</v>
      </c>
      <c r="X61">
        <v>313</v>
      </c>
    </row>
    <row r="62" spans="1:24" x14ac:dyDescent="0.3">
      <c r="A62" t="s">
        <v>33</v>
      </c>
      <c r="B62" t="s">
        <v>114</v>
      </c>
      <c r="C62">
        <v>17</v>
      </c>
      <c r="D62">
        <v>16</v>
      </c>
      <c r="E62">
        <v>380</v>
      </c>
      <c r="F62">
        <v>8864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</v>
      </c>
      <c r="T62" t="s">
        <v>46</v>
      </c>
      <c r="U62">
        <v>3</v>
      </c>
      <c r="V62" t="s">
        <v>47</v>
      </c>
      <c r="W62" t="s">
        <v>48</v>
      </c>
      <c r="X62">
        <v>430</v>
      </c>
    </row>
    <row r="63" spans="1:24" x14ac:dyDescent="0.3">
      <c r="A63" t="s">
        <v>24</v>
      </c>
      <c r="B63" t="s">
        <v>115</v>
      </c>
      <c r="C63">
        <v>52</v>
      </c>
      <c r="D63">
        <v>23</v>
      </c>
      <c r="E63">
        <v>117</v>
      </c>
      <c r="F63">
        <v>6886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79</v>
      </c>
      <c r="T63" t="s">
        <v>46</v>
      </c>
      <c r="U63">
        <v>4</v>
      </c>
      <c r="V63" t="s">
        <v>40</v>
      </c>
      <c r="W63" t="s">
        <v>48</v>
      </c>
      <c r="X63">
        <v>164</v>
      </c>
    </row>
    <row r="64" spans="1:24" x14ac:dyDescent="0.3">
      <c r="A64" t="s">
        <v>57</v>
      </c>
      <c r="B64" t="s">
        <v>116</v>
      </c>
      <c r="C64">
        <v>73</v>
      </c>
      <c r="D64">
        <v>89</v>
      </c>
      <c r="E64">
        <v>270</v>
      </c>
      <c r="F64">
        <v>3900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</v>
      </c>
      <c r="T64" t="s">
        <v>64</v>
      </c>
      <c r="U64">
        <v>2</v>
      </c>
      <c r="V64" t="s">
        <v>56</v>
      </c>
      <c r="W64" t="s">
        <v>41</v>
      </c>
      <c r="X64">
        <v>321</v>
      </c>
    </row>
    <row r="65" spans="1:24" x14ac:dyDescent="0.3">
      <c r="A65" t="s">
        <v>33</v>
      </c>
      <c r="B65" t="s">
        <v>117</v>
      </c>
      <c r="C65">
        <v>13</v>
      </c>
      <c r="D65">
        <v>55</v>
      </c>
      <c r="E65">
        <v>246</v>
      </c>
      <c r="F65">
        <v>4257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</v>
      </c>
      <c r="T65" t="s">
        <v>30</v>
      </c>
      <c r="U65">
        <v>4</v>
      </c>
      <c r="V65" t="s">
        <v>56</v>
      </c>
      <c r="W65" t="s">
        <v>48</v>
      </c>
      <c r="X65">
        <v>687</v>
      </c>
    </row>
    <row r="66" spans="1:24" x14ac:dyDescent="0.3">
      <c r="A66" t="s">
        <v>33</v>
      </c>
      <c r="B66" t="s">
        <v>118</v>
      </c>
      <c r="C66">
        <v>90</v>
      </c>
      <c r="D66">
        <v>11</v>
      </c>
      <c r="E66">
        <v>134</v>
      </c>
      <c r="F66">
        <v>8459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5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9</v>
      </c>
      <c r="T66" t="s">
        <v>46</v>
      </c>
      <c r="U66">
        <v>0</v>
      </c>
      <c r="V66" t="s">
        <v>40</v>
      </c>
      <c r="W66" t="s">
        <v>41</v>
      </c>
      <c r="X66">
        <v>771</v>
      </c>
    </row>
    <row r="67" spans="1:24" x14ac:dyDescent="0.3">
      <c r="A67" t="s">
        <v>33</v>
      </c>
      <c r="B67" t="s">
        <v>119</v>
      </c>
      <c r="C67">
        <v>34</v>
      </c>
      <c r="D67">
        <v>72</v>
      </c>
      <c r="E67">
        <v>457</v>
      </c>
      <c r="F67">
        <v>8355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7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2</v>
      </c>
      <c r="T67" t="s">
        <v>46</v>
      </c>
      <c r="U67">
        <v>5</v>
      </c>
      <c r="V67" t="s">
        <v>47</v>
      </c>
      <c r="W67" t="s">
        <v>41</v>
      </c>
      <c r="X67">
        <v>556</v>
      </c>
    </row>
    <row r="68" spans="1:24" x14ac:dyDescent="0.3">
      <c r="A68" t="s">
        <v>33</v>
      </c>
      <c r="B68" t="s">
        <v>120</v>
      </c>
      <c r="C68">
        <v>26</v>
      </c>
      <c r="D68">
        <v>52</v>
      </c>
      <c r="E68">
        <v>704</v>
      </c>
      <c r="F68">
        <v>8368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</v>
      </c>
      <c r="T68" t="s">
        <v>46</v>
      </c>
      <c r="U68">
        <v>3</v>
      </c>
      <c r="V68" t="s">
        <v>31</v>
      </c>
      <c r="W68" t="s">
        <v>48</v>
      </c>
      <c r="X68">
        <v>394</v>
      </c>
    </row>
    <row r="69" spans="1:24" x14ac:dyDescent="0.3">
      <c r="A69" t="s">
        <v>33</v>
      </c>
      <c r="B69" t="s">
        <v>121</v>
      </c>
      <c r="C69">
        <v>88</v>
      </c>
      <c r="D69">
        <v>16</v>
      </c>
      <c r="E69">
        <v>513</v>
      </c>
      <c r="F69">
        <v>9474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</v>
      </c>
      <c r="T69" t="s">
        <v>64</v>
      </c>
      <c r="U69">
        <v>0</v>
      </c>
      <c r="V69" t="s">
        <v>56</v>
      </c>
      <c r="W69" t="s">
        <v>41</v>
      </c>
      <c r="X69">
        <v>169</v>
      </c>
    </row>
    <row r="70" spans="1:24" x14ac:dyDescent="0.3">
      <c r="A70" t="s">
        <v>24</v>
      </c>
      <c r="B70" t="s">
        <v>122</v>
      </c>
      <c r="C70">
        <v>38</v>
      </c>
      <c r="D70">
        <v>29</v>
      </c>
      <c r="E70">
        <v>163</v>
      </c>
      <c r="F70">
        <v>3550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</v>
      </c>
      <c r="T70" t="s">
        <v>46</v>
      </c>
      <c r="U70">
        <v>2</v>
      </c>
      <c r="V70" t="s">
        <v>47</v>
      </c>
      <c r="W70" t="s">
        <v>48</v>
      </c>
      <c r="X70">
        <v>300</v>
      </c>
    </row>
    <row r="71" spans="1:24" x14ac:dyDescent="0.3">
      <c r="A71" t="s">
        <v>33</v>
      </c>
      <c r="B71" t="s">
        <v>123</v>
      </c>
      <c r="C71">
        <v>55</v>
      </c>
      <c r="D71">
        <v>62</v>
      </c>
      <c r="E71">
        <v>511</v>
      </c>
      <c r="F71">
        <v>1752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10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78</v>
      </c>
      <c r="T71" t="s">
        <v>30</v>
      </c>
      <c r="U71">
        <v>1</v>
      </c>
      <c r="V71" t="s">
        <v>40</v>
      </c>
      <c r="W71" t="s">
        <v>48</v>
      </c>
      <c r="X71">
        <v>208</v>
      </c>
    </row>
    <row r="72" spans="1:24" x14ac:dyDescent="0.3">
      <c r="A72" t="s">
        <v>24</v>
      </c>
      <c r="B72" t="s">
        <v>124</v>
      </c>
      <c r="C72">
        <v>48</v>
      </c>
      <c r="D72">
        <v>90</v>
      </c>
      <c r="E72">
        <v>32</v>
      </c>
      <c r="F72">
        <v>7015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</v>
      </c>
      <c r="T72" t="s">
        <v>64</v>
      </c>
      <c r="U72">
        <v>2</v>
      </c>
      <c r="V72" t="s">
        <v>31</v>
      </c>
      <c r="W72" t="s">
        <v>41</v>
      </c>
      <c r="X72">
        <v>183</v>
      </c>
    </row>
    <row r="73" spans="1:24" x14ac:dyDescent="0.3">
      <c r="A73" t="s">
        <v>57</v>
      </c>
      <c r="B73" t="s">
        <v>125</v>
      </c>
      <c r="C73">
        <v>6</v>
      </c>
      <c r="D73">
        <v>14</v>
      </c>
      <c r="E73">
        <v>637</v>
      </c>
      <c r="F73">
        <v>8180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31</v>
      </c>
      <c r="T73" t="s">
        <v>30</v>
      </c>
      <c r="U73">
        <v>2</v>
      </c>
      <c r="V73" t="s">
        <v>31</v>
      </c>
      <c r="W73" t="s">
        <v>48</v>
      </c>
      <c r="X73">
        <v>405</v>
      </c>
    </row>
    <row r="74" spans="1:24" x14ac:dyDescent="0.3">
      <c r="A74" t="s">
        <v>57</v>
      </c>
      <c r="B74" t="s">
        <v>126</v>
      </c>
      <c r="C74">
        <v>90</v>
      </c>
      <c r="D74">
        <v>88</v>
      </c>
      <c r="E74">
        <v>478</v>
      </c>
      <c r="F74">
        <v>2633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7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56</v>
      </c>
      <c r="T74" t="s">
        <v>30</v>
      </c>
      <c r="U74">
        <v>3</v>
      </c>
      <c r="V74" t="s">
        <v>47</v>
      </c>
      <c r="W74" t="s">
        <v>32</v>
      </c>
      <c r="X74">
        <v>678</v>
      </c>
    </row>
    <row r="75" spans="1:24" x14ac:dyDescent="0.3">
      <c r="A75" t="s">
        <v>57</v>
      </c>
      <c r="B75" t="s">
        <v>127</v>
      </c>
      <c r="C75">
        <v>84</v>
      </c>
      <c r="D75">
        <v>41</v>
      </c>
      <c r="E75">
        <v>375</v>
      </c>
      <c r="F75">
        <v>7911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2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47</v>
      </c>
      <c r="T75" t="s">
        <v>46</v>
      </c>
      <c r="U75">
        <v>5</v>
      </c>
      <c r="V75" t="s">
        <v>31</v>
      </c>
      <c r="W75" t="s">
        <v>48</v>
      </c>
      <c r="X75">
        <v>866</v>
      </c>
    </row>
    <row r="76" spans="1:24" x14ac:dyDescent="0.3">
      <c r="A76" t="s">
        <v>24</v>
      </c>
      <c r="B76" t="s">
        <v>128</v>
      </c>
      <c r="C76">
        <v>3</v>
      </c>
      <c r="D76">
        <v>64</v>
      </c>
      <c r="E76">
        <v>904</v>
      </c>
      <c r="F76">
        <v>5710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81</v>
      </c>
      <c r="T76" t="s">
        <v>46</v>
      </c>
      <c r="U76">
        <v>0</v>
      </c>
      <c r="V76" t="s">
        <v>47</v>
      </c>
      <c r="W76" t="s">
        <v>48</v>
      </c>
      <c r="X76">
        <v>342</v>
      </c>
    </row>
    <row r="77" spans="1:24" x14ac:dyDescent="0.3">
      <c r="A77" t="s">
        <v>33</v>
      </c>
      <c r="B77" t="s">
        <v>129</v>
      </c>
      <c r="C77">
        <v>93</v>
      </c>
      <c r="D77">
        <v>29</v>
      </c>
      <c r="E77">
        <v>106</v>
      </c>
      <c r="F77">
        <v>1889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</v>
      </c>
      <c r="T77" t="s">
        <v>64</v>
      </c>
      <c r="U77">
        <v>2</v>
      </c>
      <c r="V77" t="s">
        <v>40</v>
      </c>
      <c r="W77" t="s">
        <v>41</v>
      </c>
      <c r="X77">
        <v>873</v>
      </c>
    </row>
    <row r="78" spans="1:24" x14ac:dyDescent="0.3">
      <c r="A78" t="s">
        <v>24</v>
      </c>
      <c r="B78" t="s">
        <v>130</v>
      </c>
      <c r="C78">
        <v>69</v>
      </c>
      <c r="D78">
        <v>23</v>
      </c>
      <c r="E78">
        <v>241</v>
      </c>
      <c r="F78">
        <v>5328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</v>
      </c>
      <c r="T78" t="s">
        <v>30</v>
      </c>
      <c r="U78">
        <v>2</v>
      </c>
      <c r="V78" t="s">
        <v>47</v>
      </c>
      <c r="W78" t="s">
        <v>48</v>
      </c>
      <c r="X78">
        <v>997</v>
      </c>
    </row>
    <row r="79" spans="1:24" x14ac:dyDescent="0.3">
      <c r="A79" t="s">
        <v>24</v>
      </c>
      <c r="B79" t="s">
        <v>131</v>
      </c>
      <c r="C79">
        <v>57</v>
      </c>
      <c r="D79">
        <v>14</v>
      </c>
      <c r="E79">
        <v>359</v>
      </c>
      <c r="F79">
        <v>2484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7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43</v>
      </c>
      <c r="T79" t="s">
        <v>64</v>
      </c>
      <c r="U79">
        <v>3</v>
      </c>
      <c r="V79" t="s">
        <v>31</v>
      </c>
      <c r="W79" t="s">
        <v>32</v>
      </c>
      <c r="X79">
        <v>853</v>
      </c>
    </row>
    <row r="80" spans="1:24" x14ac:dyDescent="0.3">
      <c r="A80" t="s">
        <v>24</v>
      </c>
      <c r="B80" t="s">
        <v>132</v>
      </c>
      <c r="C80">
        <v>6</v>
      </c>
      <c r="D80">
        <v>50</v>
      </c>
      <c r="E80">
        <v>946</v>
      </c>
      <c r="F80">
        <v>1292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</v>
      </c>
      <c r="T80" t="s">
        <v>30</v>
      </c>
      <c r="U80">
        <v>4</v>
      </c>
      <c r="V80" t="s">
        <v>56</v>
      </c>
      <c r="W80" t="s">
        <v>41</v>
      </c>
      <c r="X80">
        <v>324</v>
      </c>
    </row>
    <row r="81" spans="1:24" x14ac:dyDescent="0.3">
      <c r="A81" t="s">
        <v>24</v>
      </c>
      <c r="B81" t="s">
        <v>133</v>
      </c>
      <c r="C81">
        <v>57</v>
      </c>
      <c r="D81">
        <v>56</v>
      </c>
      <c r="E81">
        <v>198</v>
      </c>
      <c r="F81">
        <v>7889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58</v>
      </c>
      <c r="T81" t="s">
        <v>30</v>
      </c>
      <c r="U81">
        <v>0</v>
      </c>
      <c r="V81" t="s">
        <v>40</v>
      </c>
      <c r="W81" t="s">
        <v>41</v>
      </c>
      <c r="X81">
        <v>352</v>
      </c>
    </row>
    <row r="82" spans="1:24" x14ac:dyDescent="0.3">
      <c r="A82" t="s">
        <v>33</v>
      </c>
      <c r="B82" t="s">
        <v>134</v>
      </c>
      <c r="C82">
        <v>91</v>
      </c>
      <c r="D82">
        <v>75</v>
      </c>
      <c r="E82">
        <v>872</v>
      </c>
      <c r="F82">
        <v>8652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3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77</v>
      </c>
      <c r="T82" t="s">
        <v>46</v>
      </c>
      <c r="U82">
        <v>3</v>
      </c>
      <c r="V82" t="s">
        <v>56</v>
      </c>
      <c r="W82" t="s">
        <v>32</v>
      </c>
      <c r="X82">
        <v>788</v>
      </c>
    </row>
    <row r="83" spans="1:24" x14ac:dyDescent="0.3">
      <c r="A83" t="s">
        <v>24</v>
      </c>
      <c r="B83" t="s">
        <v>135</v>
      </c>
      <c r="C83">
        <v>73</v>
      </c>
      <c r="D83">
        <v>9</v>
      </c>
      <c r="E83">
        <v>774</v>
      </c>
      <c r="F83">
        <v>4384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20</v>
      </c>
      <c r="T83" t="s">
        <v>30</v>
      </c>
      <c r="U83">
        <v>3</v>
      </c>
      <c r="V83" t="s">
        <v>47</v>
      </c>
      <c r="W83" t="s">
        <v>32</v>
      </c>
      <c r="X83">
        <v>277</v>
      </c>
    </row>
    <row r="84" spans="1:24" x14ac:dyDescent="0.3">
      <c r="A84" t="s">
        <v>33</v>
      </c>
      <c r="B84" t="s">
        <v>136</v>
      </c>
      <c r="C84">
        <v>17</v>
      </c>
      <c r="D84">
        <v>13</v>
      </c>
      <c r="E84">
        <v>336</v>
      </c>
      <c r="F84">
        <v>2943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5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</v>
      </c>
      <c r="T84" t="s">
        <v>30</v>
      </c>
      <c r="U84">
        <v>4</v>
      </c>
      <c r="V84" t="s">
        <v>31</v>
      </c>
      <c r="W84" t="s">
        <v>41</v>
      </c>
      <c r="X84">
        <v>590</v>
      </c>
    </row>
    <row r="85" spans="1:24" x14ac:dyDescent="0.3">
      <c r="A85" t="s">
        <v>24</v>
      </c>
      <c r="B85" t="s">
        <v>137</v>
      </c>
      <c r="C85">
        <v>69</v>
      </c>
      <c r="D85">
        <v>82</v>
      </c>
      <c r="E85">
        <v>663</v>
      </c>
      <c r="F85">
        <v>2412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5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98</v>
      </c>
      <c r="T85" t="s">
        <v>46</v>
      </c>
      <c r="U85">
        <v>1</v>
      </c>
      <c r="V85" t="s">
        <v>31</v>
      </c>
      <c r="W85" t="s">
        <v>48</v>
      </c>
      <c r="X85">
        <v>683</v>
      </c>
    </row>
    <row r="86" spans="1:24" x14ac:dyDescent="0.3">
      <c r="A86" t="s">
        <v>24</v>
      </c>
      <c r="B86" t="s">
        <v>138</v>
      </c>
      <c r="C86">
        <v>89</v>
      </c>
      <c r="D86">
        <v>99</v>
      </c>
      <c r="E86">
        <v>618</v>
      </c>
      <c r="F86">
        <v>2048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34</v>
      </c>
      <c r="T86" t="s">
        <v>64</v>
      </c>
      <c r="U86">
        <v>5</v>
      </c>
      <c r="V86" t="s">
        <v>40</v>
      </c>
      <c r="W86" t="s">
        <v>32</v>
      </c>
      <c r="X86">
        <v>465</v>
      </c>
    </row>
    <row r="87" spans="1:24" x14ac:dyDescent="0.3">
      <c r="A87" t="s">
        <v>57</v>
      </c>
      <c r="B87" t="s">
        <v>139</v>
      </c>
      <c r="C87">
        <v>77</v>
      </c>
      <c r="D87">
        <v>83</v>
      </c>
      <c r="E87">
        <v>25</v>
      </c>
      <c r="F87">
        <v>8685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70</v>
      </c>
      <c r="T87" t="s">
        <v>46</v>
      </c>
      <c r="U87">
        <v>1</v>
      </c>
      <c r="V87" t="s">
        <v>31</v>
      </c>
      <c r="W87" t="s">
        <v>32</v>
      </c>
      <c r="X87">
        <v>843</v>
      </c>
    </row>
    <row r="88" spans="1:24" x14ac:dyDescent="0.3">
      <c r="A88" t="s">
        <v>33</v>
      </c>
      <c r="B88" t="s">
        <v>140</v>
      </c>
      <c r="C88">
        <v>20</v>
      </c>
      <c r="D88">
        <v>18</v>
      </c>
      <c r="E88">
        <v>223</v>
      </c>
      <c r="F88">
        <v>1230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75</v>
      </c>
      <c r="T88" t="s">
        <v>64</v>
      </c>
      <c r="U88">
        <v>2</v>
      </c>
      <c r="V88" t="s">
        <v>47</v>
      </c>
      <c r="W88" t="s">
        <v>48</v>
      </c>
      <c r="X88">
        <v>264</v>
      </c>
    </row>
    <row r="89" spans="1:24" x14ac:dyDescent="0.3">
      <c r="A89" t="s">
        <v>24</v>
      </c>
      <c r="B89" t="s">
        <v>141</v>
      </c>
      <c r="C89">
        <v>80</v>
      </c>
      <c r="D89">
        <v>24</v>
      </c>
      <c r="E89">
        <v>79</v>
      </c>
      <c r="F89">
        <v>5134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7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29</v>
      </c>
      <c r="T89" t="s">
        <v>46</v>
      </c>
      <c r="U89">
        <v>4</v>
      </c>
      <c r="V89" t="s">
        <v>56</v>
      </c>
      <c r="W89" t="s">
        <v>32</v>
      </c>
      <c r="X89">
        <v>879</v>
      </c>
    </row>
    <row r="90" spans="1:24" x14ac:dyDescent="0.3">
      <c r="A90" t="s">
        <v>57</v>
      </c>
      <c r="B90" t="s">
        <v>142</v>
      </c>
      <c r="C90">
        <v>75</v>
      </c>
      <c r="D90">
        <v>58</v>
      </c>
      <c r="E90">
        <v>737</v>
      </c>
      <c r="F90">
        <v>9445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4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</v>
      </c>
      <c r="T90" t="s">
        <v>30</v>
      </c>
      <c r="U90">
        <v>1</v>
      </c>
      <c r="V90" t="s">
        <v>56</v>
      </c>
      <c r="W90" t="s">
        <v>48</v>
      </c>
      <c r="X90">
        <v>104</v>
      </c>
    </row>
    <row r="91" spans="1:24" x14ac:dyDescent="0.3">
      <c r="A91" t="s">
        <v>57</v>
      </c>
      <c r="B91" t="s">
        <v>143</v>
      </c>
      <c r="C91">
        <v>98</v>
      </c>
      <c r="D91">
        <v>10</v>
      </c>
      <c r="E91">
        <v>134</v>
      </c>
      <c r="F91">
        <v>5925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10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47</v>
      </c>
      <c r="T91" t="s">
        <v>30</v>
      </c>
      <c r="U91">
        <v>2</v>
      </c>
      <c r="V91" t="s">
        <v>47</v>
      </c>
      <c r="W91" t="s">
        <v>32</v>
      </c>
      <c r="X91">
        <v>517</v>
      </c>
    </row>
    <row r="92" spans="1:24" x14ac:dyDescent="0.3">
      <c r="A92" t="s">
        <v>33</v>
      </c>
      <c r="B92" t="s">
        <v>144</v>
      </c>
      <c r="C92">
        <v>14</v>
      </c>
      <c r="D92">
        <v>56</v>
      </c>
      <c r="E92">
        <v>320</v>
      </c>
      <c r="F92">
        <v>9593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8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86</v>
      </c>
      <c r="T92" t="s">
        <v>64</v>
      </c>
      <c r="U92">
        <v>1</v>
      </c>
      <c r="V92" t="s">
        <v>47</v>
      </c>
      <c r="W92" t="s">
        <v>32</v>
      </c>
      <c r="X92">
        <v>990</v>
      </c>
    </row>
    <row r="93" spans="1:24" x14ac:dyDescent="0.3">
      <c r="A93" t="s">
        <v>57</v>
      </c>
      <c r="B93" t="s">
        <v>145</v>
      </c>
      <c r="C93">
        <v>62</v>
      </c>
      <c r="D93">
        <v>90</v>
      </c>
      <c r="E93">
        <v>916</v>
      </c>
      <c r="F93">
        <v>1935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40</v>
      </c>
      <c r="T93" t="s">
        <v>30</v>
      </c>
      <c r="U93">
        <v>1</v>
      </c>
      <c r="V93" t="s">
        <v>47</v>
      </c>
      <c r="W93" t="s">
        <v>32</v>
      </c>
      <c r="X93">
        <v>997</v>
      </c>
    </row>
    <row r="94" spans="1:24" x14ac:dyDescent="0.3">
      <c r="A94" t="s">
        <v>57</v>
      </c>
      <c r="B94" t="s">
        <v>146</v>
      </c>
      <c r="C94">
        <v>48</v>
      </c>
      <c r="D94">
        <v>44</v>
      </c>
      <c r="E94">
        <v>276</v>
      </c>
      <c r="F94">
        <v>2100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63</v>
      </c>
      <c r="T94" t="s">
        <v>64</v>
      </c>
      <c r="U94">
        <v>0</v>
      </c>
      <c r="V94" t="s">
        <v>47</v>
      </c>
      <c r="W94" t="s">
        <v>32</v>
      </c>
      <c r="X94">
        <v>230</v>
      </c>
    </row>
    <row r="95" spans="1:24" x14ac:dyDescent="0.3">
      <c r="A95" t="s">
        <v>24</v>
      </c>
      <c r="B95" t="s">
        <v>147</v>
      </c>
      <c r="C95">
        <v>69</v>
      </c>
      <c r="D95">
        <v>88</v>
      </c>
      <c r="E95">
        <v>114</v>
      </c>
      <c r="F95">
        <v>4531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36</v>
      </c>
      <c r="T95" t="s">
        <v>46</v>
      </c>
      <c r="U95">
        <v>4</v>
      </c>
      <c r="V95" t="s">
        <v>40</v>
      </c>
      <c r="W95" t="s">
        <v>48</v>
      </c>
      <c r="X95">
        <v>824</v>
      </c>
    </row>
    <row r="96" spans="1:24" x14ac:dyDescent="0.3">
      <c r="A96" t="s">
        <v>57</v>
      </c>
      <c r="B96" t="s">
        <v>148</v>
      </c>
      <c r="C96">
        <v>3</v>
      </c>
      <c r="D96">
        <v>97</v>
      </c>
      <c r="E96">
        <v>987</v>
      </c>
      <c r="F96">
        <v>7888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7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</v>
      </c>
      <c r="T96" t="s">
        <v>64</v>
      </c>
      <c r="U96">
        <v>1</v>
      </c>
      <c r="V96" t="s">
        <v>47</v>
      </c>
      <c r="W96" t="s">
        <v>32</v>
      </c>
      <c r="X96">
        <v>847</v>
      </c>
    </row>
    <row r="97" spans="1:24" x14ac:dyDescent="0.3">
      <c r="A97" t="s">
        <v>24</v>
      </c>
      <c r="B97" t="s">
        <v>149</v>
      </c>
      <c r="C97">
        <v>78</v>
      </c>
      <c r="D97">
        <v>65</v>
      </c>
      <c r="E97">
        <v>672</v>
      </c>
      <c r="F97">
        <v>7386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9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59</v>
      </c>
      <c r="T97" t="s">
        <v>30</v>
      </c>
      <c r="U97">
        <v>1</v>
      </c>
      <c r="V97" t="s">
        <v>40</v>
      </c>
      <c r="W97" t="s">
        <v>48</v>
      </c>
      <c r="X97">
        <v>779</v>
      </c>
    </row>
    <row r="98" spans="1:24" x14ac:dyDescent="0.3">
      <c r="A98" t="s">
        <v>57</v>
      </c>
      <c r="B98" t="s">
        <v>150</v>
      </c>
      <c r="C98">
        <v>24</v>
      </c>
      <c r="D98">
        <v>29</v>
      </c>
      <c r="E98">
        <v>324</v>
      </c>
      <c r="F98">
        <v>7698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18</v>
      </c>
      <c r="T98" t="s">
        <v>30</v>
      </c>
      <c r="U98">
        <v>4</v>
      </c>
      <c r="V98" t="s">
        <v>31</v>
      </c>
      <c r="W98" t="s">
        <v>48</v>
      </c>
      <c r="X98">
        <v>189</v>
      </c>
    </row>
    <row r="99" spans="1:24" x14ac:dyDescent="0.3">
      <c r="A99" t="s">
        <v>24</v>
      </c>
      <c r="B99" t="s">
        <v>151</v>
      </c>
      <c r="C99">
        <v>4</v>
      </c>
      <c r="D99">
        <v>56</v>
      </c>
      <c r="E99">
        <v>62</v>
      </c>
      <c r="F99">
        <v>4371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8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66</v>
      </c>
      <c r="T99" t="s">
        <v>46</v>
      </c>
      <c r="U99">
        <v>3</v>
      </c>
      <c r="V99" t="s">
        <v>31</v>
      </c>
      <c r="W99" t="s">
        <v>48</v>
      </c>
      <c r="X99">
        <v>540</v>
      </c>
    </row>
    <row r="100" spans="1:24" x14ac:dyDescent="0.3">
      <c r="A100" t="s">
        <v>33</v>
      </c>
      <c r="B100" t="s">
        <v>152</v>
      </c>
      <c r="C100">
        <v>20</v>
      </c>
      <c r="D100">
        <v>43</v>
      </c>
      <c r="E100">
        <v>913</v>
      </c>
      <c r="F100">
        <v>8526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6</v>
      </c>
      <c r="T100" t="s">
        <v>30</v>
      </c>
      <c r="U100">
        <v>3</v>
      </c>
      <c r="V100" t="s">
        <v>47</v>
      </c>
      <c r="W100" t="s">
        <v>48</v>
      </c>
      <c r="X100">
        <v>882</v>
      </c>
    </row>
    <row r="101" spans="1:24" x14ac:dyDescent="0.3">
      <c r="A101" t="s">
        <v>24</v>
      </c>
      <c r="B101" t="s">
        <v>153</v>
      </c>
      <c r="C101">
        <v>69</v>
      </c>
      <c r="D101">
        <v>17</v>
      </c>
      <c r="E101">
        <v>627</v>
      </c>
      <c r="F101">
        <v>9185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</v>
      </c>
      <c r="T101" t="s">
        <v>46</v>
      </c>
      <c r="U101">
        <v>0</v>
      </c>
      <c r="V101" t="s">
        <v>47</v>
      </c>
      <c r="W101" t="s">
        <v>32</v>
      </c>
      <c r="X101">
        <v>211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4EFE0-F590-4234-9D22-49ABC058DA11}">
  <dimension ref="A3:F20"/>
  <sheetViews>
    <sheetView workbookViewId="0">
      <selection activeCell="B15" sqref="B15"/>
    </sheetView>
  </sheetViews>
  <sheetFormatPr defaultRowHeight="14.4" x14ac:dyDescent="0.3"/>
  <cols>
    <col min="1" max="1" width="23" bestFit="1" customWidth="1"/>
    <col min="2" max="2" width="15.5546875" bestFit="1" customWidth="1"/>
    <col min="3" max="4" width="7" bestFit="1" customWidth="1"/>
    <col min="5" max="5" width="6" bestFit="1" customWidth="1"/>
    <col min="6" max="6" width="10.5546875" bestFit="1" customWidth="1"/>
  </cols>
  <sheetData>
    <row r="3" spans="1:6" x14ac:dyDescent="0.3">
      <c r="A3" s="1" t="s">
        <v>156</v>
      </c>
      <c r="B3" s="1" t="s">
        <v>157</v>
      </c>
    </row>
    <row r="4" spans="1:6" x14ac:dyDescent="0.3">
      <c r="A4" s="1" t="s">
        <v>154</v>
      </c>
      <c r="B4" t="s">
        <v>40</v>
      </c>
      <c r="C4" t="s">
        <v>47</v>
      </c>
      <c r="D4" t="s">
        <v>31</v>
      </c>
      <c r="E4" t="s">
        <v>56</v>
      </c>
      <c r="F4" t="s">
        <v>155</v>
      </c>
    </row>
    <row r="5" spans="1:6" x14ac:dyDescent="0.3">
      <c r="A5" s="2" t="s">
        <v>57</v>
      </c>
      <c r="B5">
        <v>26587</v>
      </c>
      <c r="C5">
        <v>50404</v>
      </c>
      <c r="D5">
        <v>49289</v>
      </c>
      <c r="E5">
        <v>35239</v>
      </c>
      <c r="F5">
        <v>161519</v>
      </c>
    </row>
    <row r="6" spans="1:6" x14ac:dyDescent="0.3">
      <c r="A6" s="3" t="s">
        <v>35</v>
      </c>
      <c r="B6">
        <v>8746</v>
      </c>
      <c r="C6">
        <v>13063</v>
      </c>
      <c r="D6">
        <v>33680</v>
      </c>
      <c r="E6">
        <v>14058</v>
      </c>
      <c r="F6">
        <v>69547</v>
      </c>
    </row>
    <row r="7" spans="1:6" x14ac:dyDescent="0.3">
      <c r="A7" s="3" t="s">
        <v>55</v>
      </c>
      <c r="C7">
        <v>4035</v>
      </c>
      <c r="D7">
        <v>7911</v>
      </c>
      <c r="E7">
        <v>9445</v>
      </c>
      <c r="F7">
        <v>21391</v>
      </c>
    </row>
    <row r="8" spans="1:6" x14ac:dyDescent="0.3">
      <c r="A8" s="3" t="s">
        <v>26</v>
      </c>
      <c r="B8">
        <v>10754</v>
      </c>
      <c r="C8">
        <v>2633</v>
      </c>
      <c r="D8">
        <v>7698</v>
      </c>
      <c r="E8">
        <v>5150</v>
      </c>
      <c r="F8">
        <v>26235</v>
      </c>
    </row>
    <row r="9" spans="1:6" x14ac:dyDescent="0.3">
      <c r="A9" s="3" t="s">
        <v>38</v>
      </c>
      <c r="B9">
        <v>7087</v>
      </c>
      <c r="C9">
        <v>30673</v>
      </c>
      <c r="E9">
        <v>6586</v>
      </c>
      <c r="F9">
        <v>44346</v>
      </c>
    </row>
    <row r="10" spans="1:6" x14ac:dyDescent="0.3">
      <c r="A10" s="2" t="s">
        <v>24</v>
      </c>
      <c r="B10">
        <v>53104</v>
      </c>
      <c r="C10">
        <v>48535</v>
      </c>
      <c r="D10">
        <v>54098</v>
      </c>
      <c r="E10">
        <v>18717</v>
      </c>
      <c r="F10">
        <v>174454</v>
      </c>
    </row>
    <row r="11" spans="1:6" x14ac:dyDescent="0.3">
      <c r="A11" s="3" t="s">
        <v>35</v>
      </c>
      <c r="C11">
        <v>5710</v>
      </c>
      <c r="D11">
        <v>7015</v>
      </c>
      <c r="F11">
        <v>12725</v>
      </c>
    </row>
    <row r="12" spans="1:6" x14ac:dyDescent="0.3">
      <c r="A12" s="3" t="s">
        <v>55</v>
      </c>
      <c r="B12">
        <v>9049</v>
      </c>
      <c r="C12">
        <v>14312</v>
      </c>
      <c r="D12">
        <v>19178</v>
      </c>
      <c r="E12">
        <v>8060</v>
      </c>
      <c r="F12">
        <v>50599</v>
      </c>
    </row>
    <row r="13" spans="1:6" x14ac:dyDescent="0.3">
      <c r="A13" s="3" t="s">
        <v>26</v>
      </c>
      <c r="B13">
        <v>7889</v>
      </c>
      <c r="C13">
        <v>10947</v>
      </c>
      <c r="D13">
        <v>20135</v>
      </c>
      <c r="F13">
        <v>38971</v>
      </c>
    </row>
    <row r="14" spans="1:6" x14ac:dyDescent="0.3">
      <c r="A14" s="3" t="s">
        <v>38</v>
      </c>
      <c r="B14">
        <v>36166</v>
      </c>
      <c r="C14">
        <v>17566</v>
      </c>
      <c r="D14">
        <v>7770</v>
      </c>
      <c r="E14">
        <v>10657</v>
      </c>
      <c r="F14">
        <v>72159</v>
      </c>
    </row>
    <row r="15" spans="1:6" x14ac:dyDescent="0.3">
      <c r="A15" s="2" t="s">
        <v>33</v>
      </c>
      <c r="B15">
        <v>76043</v>
      </c>
      <c r="C15">
        <v>66050</v>
      </c>
      <c r="D15">
        <v>55929</v>
      </c>
      <c r="E15">
        <v>43607</v>
      </c>
      <c r="F15">
        <v>241629</v>
      </c>
    </row>
    <row r="16" spans="1:6" x14ac:dyDescent="0.3">
      <c r="A16" s="3" t="s">
        <v>35</v>
      </c>
      <c r="B16">
        <v>30498</v>
      </c>
      <c r="C16">
        <v>17390</v>
      </c>
      <c r="D16">
        <v>23394</v>
      </c>
      <c r="E16">
        <v>7959</v>
      </c>
      <c r="F16">
        <v>79241</v>
      </c>
    </row>
    <row r="17" spans="1:6" x14ac:dyDescent="0.3">
      <c r="A17" s="3" t="s">
        <v>55</v>
      </c>
      <c r="B17">
        <v>17668</v>
      </c>
      <c r="C17">
        <v>25099</v>
      </c>
      <c r="D17">
        <v>4053</v>
      </c>
      <c r="E17">
        <v>7823</v>
      </c>
      <c r="F17">
        <v>54643</v>
      </c>
    </row>
    <row r="18" spans="1:6" x14ac:dyDescent="0.3">
      <c r="A18" s="3" t="s">
        <v>26</v>
      </c>
      <c r="B18">
        <v>19749</v>
      </c>
      <c r="C18">
        <v>17360</v>
      </c>
      <c r="D18">
        <v>4352</v>
      </c>
      <c r="E18">
        <v>9699</v>
      </c>
      <c r="F18">
        <v>51160</v>
      </c>
    </row>
    <row r="19" spans="1:6" x14ac:dyDescent="0.3">
      <c r="A19" s="3" t="s">
        <v>38</v>
      </c>
      <c r="B19">
        <v>8128</v>
      </c>
      <c r="C19">
        <v>6201</v>
      </c>
      <c r="D19">
        <v>24130</v>
      </c>
      <c r="E19">
        <v>18126</v>
      </c>
      <c r="F19">
        <v>56585</v>
      </c>
    </row>
    <row r="20" spans="1:6" x14ac:dyDescent="0.3">
      <c r="A20" s="2" t="s">
        <v>155</v>
      </c>
      <c r="B20">
        <v>155734</v>
      </c>
      <c r="C20">
        <v>164989</v>
      </c>
      <c r="D20">
        <v>159316</v>
      </c>
      <c r="E20">
        <v>97563</v>
      </c>
      <c r="F20">
        <v>577602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7223-DA5F-48C9-9EF7-7DE84EA9C8A2}">
  <dimension ref="A3:G25"/>
  <sheetViews>
    <sheetView workbookViewId="0">
      <selection activeCell="G17" sqref="G17"/>
    </sheetView>
  </sheetViews>
  <sheetFormatPr defaultRowHeight="14.4" x14ac:dyDescent="0.3"/>
  <cols>
    <col min="1" max="1" width="19.33203125" bestFit="1" customWidth="1"/>
    <col min="2" max="2" width="15.5546875" bestFit="1" customWidth="1"/>
    <col min="3" max="6" width="9.44140625" bestFit="1" customWidth="1"/>
    <col min="7" max="7" width="10.5546875" bestFit="1" customWidth="1"/>
    <col min="8" max="8" width="11.6640625" bestFit="1" customWidth="1"/>
    <col min="9" max="9" width="19.33203125" bestFit="1" customWidth="1"/>
    <col min="10" max="10" width="11.6640625" bestFit="1" customWidth="1"/>
    <col min="11" max="11" width="19.33203125" bestFit="1" customWidth="1"/>
    <col min="12" max="12" width="16.21875" bestFit="1" customWidth="1"/>
    <col min="13" max="13" width="23.88671875" bestFit="1" customWidth="1"/>
  </cols>
  <sheetData>
    <row r="3" spans="1:7" x14ac:dyDescent="0.3">
      <c r="A3" s="1" t="s">
        <v>158</v>
      </c>
      <c r="B3" s="1" t="s">
        <v>157</v>
      </c>
    </row>
    <row r="4" spans="1:7" x14ac:dyDescent="0.3">
      <c r="A4" s="1" t="s">
        <v>154</v>
      </c>
      <c r="B4" t="s">
        <v>39</v>
      </c>
      <c r="C4" t="s">
        <v>61</v>
      </c>
      <c r="D4" t="s">
        <v>28</v>
      </c>
      <c r="E4" t="s">
        <v>52</v>
      </c>
      <c r="F4" t="s">
        <v>44</v>
      </c>
      <c r="G4" t="s">
        <v>155</v>
      </c>
    </row>
    <row r="5" spans="1:7" x14ac:dyDescent="0.3">
      <c r="A5" s="2" t="s">
        <v>53</v>
      </c>
      <c r="B5">
        <v>24</v>
      </c>
      <c r="C5">
        <v>34</v>
      </c>
      <c r="D5">
        <v>16</v>
      </c>
      <c r="E5">
        <v>6</v>
      </c>
      <c r="F5">
        <v>23</v>
      </c>
      <c r="G5">
        <v>103</v>
      </c>
    </row>
    <row r="6" spans="1:7" x14ac:dyDescent="0.3">
      <c r="A6" s="3" t="s">
        <v>46</v>
      </c>
      <c r="B6">
        <v>5</v>
      </c>
      <c r="C6">
        <v>1</v>
      </c>
      <c r="E6">
        <v>6</v>
      </c>
      <c r="F6">
        <v>8</v>
      </c>
      <c r="G6">
        <v>20</v>
      </c>
    </row>
    <row r="7" spans="1:7" x14ac:dyDescent="0.3">
      <c r="A7" s="3" t="s">
        <v>64</v>
      </c>
      <c r="B7">
        <v>12</v>
      </c>
      <c r="C7">
        <v>7</v>
      </c>
      <c r="D7">
        <v>8</v>
      </c>
      <c r="G7">
        <v>27</v>
      </c>
    </row>
    <row r="8" spans="1:7" x14ac:dyDescent="0.3">
      <c r="A8" s="3" t="s">
        <v>30</v>
      </c>
      <c r="B8">
        <v>7</v>
      </c>
      <c r="C8">
        <v>26</v>
      </c>
      <c r="D8">
        <v>8</v>
      </c>
      <c r="F8">
        <v>15</v>
      </c>
      <c r="G8">
        <v>56</v>
      </c>
    </row>
    <row r="9" spans="1:7" x14ac:dyDescent="0.3">
      <c r="A9" s="2" t="s">
        <v>62</v>
      </c>
      <c r="B9">
        <v>16</v>
      </c>
      <c r="C9">
        <v>13</v>
      </c>
      <c r="D9">
        <v>17</v>
      </c>
      <c r="E9">
        <v>20</v>
      </c>
      <c r="F9">
        <v>28</v>
      </c>
      <c r="G9">
        <v>94</v>
      </c>
    </row>
    <row r="10" spans="1:7" x14ac:dyDescent="0.3">
      <c r="A10" s="3" t="s">
        <v>46</v>
      </c>
      <c r="B10">
        <v>4</v>
      </c>
      <c r="C10">
        <v>1</v>
      </c>
      <c r="D10">
        <v>10</v>
      </c>
      <c r="E10">
        <v>20</v>
      </c>
      <c r="F10">
        <v>13</v>
      </c>
      <c r="G10">
        <v>48</v>
      </c>
    </row>
    <row r="11" spans="1:7" x14ac:dyDescent="0.3">
      <c r="A11" s="3" t="s">
        <v>64</v>
      </c>
      <c r="B11">
        <v>12</v>
      </c>
      <c r="C11">
        <v>5</v>
      </c>
      <c r="F11">
        <v>8</v>
      </c>
      <c r="G11">
        <v>25</v>
      </c>
    </row>
    <row r="12" spans="1:7" x14ac:dyDescent="0.3">
      <c r="A12" s="3" t="s">
        <v>30</v>
      </c>
      <c r="C12">
        <v>7</v>
      </c>
      <c r="D12">
        <v>7</v>
      </c>
      <c r="F12">
        <v>7</v>
      </c>
      <c r="G12">
        <v>21</v>
      </c>
    </row>
    <row r="13" spans="1:7" x14ac:dyDescent="0.3">
      <c r="A13" s="2" t="s">
        <v>50</v>
      </c>
      <c r="B13">
        <v>15</v>
      </c>
      <c r="C13">
        <v>37</v>
      </c>
      <c r="D13">
        <v>9</v>
      </c>
      <c r="E13">
        <v>12</v>
      </c>
      <c r="F13">
        <v>3</v>
      </c>
      <c r="G13">
        <v>76</v>
      </c>
    </row>
    <row r="14" spans="1:7" x14ac:dyDescent="0.3">
      <c r="A14" s="3" t="s">
        <v>46</v>
      </c>
      <c r="B14">
        <v>9</v>
      </c>
      <c r="C14">
        <v>21</v>
      </c>
      <c r="D14">
        <v>5</v>
      </c>
      <c r="E14">
        <v>5</v>
      </c>
      <c r="G14">
        <v>40</v>
      </c>
    </row>
    <row r="15" spans="1:7" x14ac:dyDescent="0.3">
      <c r="A15" s="3" t="s">
        <v>64</v>
      </c>
      <c r="B15">
        <v>5</v>
      </c>
      <c r="C15">
        <v>7</v>
      </c>
      <c r="F15">
        <v>3</v>
      </c>
      <c r="G15">
        <v>15</v>
      </c>
    </row>
    <row r="16" spans="1:7" x14ac:dyDescent="0.3">
      <c r="A16" s="3" t="s">
        <v>30</v>
      </c>
      <c r="B16">
        <v>1</v>
      </c>
      <c r="C16">
        <v>9</v>
      </c>
      <c r="D16">
        <v>4</v>
      </c>
      <c r="E16">
        <v>7</v>
      </c>
      <c r="G16">
        <v>21</v>
      </c>
    </row>
    <row r="17" spans="1:7" x14ac:dyDescent="0.3">
      <c r="A17" s="2" t="s">
        <v>45</v>
      </c>
      <c r="B17">
        <v>54</v>
      </c>
      <c r="C17">
        <v>15</v>
      </c>
      <c r="D17">
        <v>13</v>
      </c>
      <c r="E17">
        <v>41</v>
      </c>
      <c r="F17">
        <v>23</v>
      </c>
      <c r="G17">
        <v>146</v>
      </c>
    </row>
    <row r="18" spans="1:7" x14ac:dyDescent="0.3">
      <c r="A18" s="3" t="s">
        <v>46</v>
      </c>
      <c r="B18">
        <v>7</v>
      </c>
      <c r="C18">
        <v>6</v>
      </c>
      <c r="E18">
        <v>20</v>
      </c>
      <c r="F18">
        <v>11</v>
      </c>
      <c r="G18">
        <v>44</v>
      </c>
    </row>
    <row r="19" spans="1:7" x14ac:dyDescent="0.3">
      <c r="A19" s="3" t="s">
        <v>64</v>
      </c>
      <c r="B19">
        <v>19</v>
      </c>
      <c r="D19">
        <v>7</v>
      </c>
      <c r="F19">
        <v>9</v>
      </c>
      <c r="G19">
        <v>35</v>
      </c>
    </row>
    <row r="20" spans="1:7" x14ac:dyDescent="0.3">
      <c r="A20" s="3" t="s">
        <v>30</v>
      </c>
      <c r="B20">
        <v>28</v>
      </c>
      <c r="C20">
        <v>9</v>
      </c>
      <c r="D20">
        <v>6</v>
      </c>
      <c r="E20">
        <v>21</v>
      </c>
      <c r="F20">
        <v>3</v>
      </c>
      <c r="G20">
        <v>67</v>
      </c>
    </row>
    <row r="21" spans="1:7" x14ac:dyDescent="0.3">
      <c r="A21" s="2" t="s">
        <v>29</v>
      </c>
      <c r="B21">
        <v>39</v>
      </c>
      <c r="C21">
        <v>27</v>
      </c>
      <c r="D21">
        <v>18</v>
      </c>
      <c r="E21">
        <v>24</v>
      </c>
      <c r="F21">
        <v>28</v>
      </c>
      <c r="G21">
        <v>136</v>
      </c>
    </row>
    <row r="22" spans="1:7" x14ac:dyDescent="0.3">
      <c r="A22" s="3" t="s">
        <v>46</v>
      </c>
      <c r="B22">
        <v>10</v>
      </c>
      <c r="C22">
        <v>7</v>
      </c>
      <c r="E22">
        <v>12</v>
      </c>
      <c r="F22">
        <v>7</v>
      </c>
      <c r="G22">
        <v>36</v>
      </c>
    </row>
    <row r="23" spans="1:7" x14ac:dyDescent="0.3">
      <c r="A23" s="3" t="s">
        <v>64</v>
      </c>
      <c r="B23">
        <v>12</v>
      </c>
      <c r="C23">
        <v>11</v>
      </c>
      <c r="G23">
        <v>23</v>
      </c>
    </row>
    <row r="24" spans="1:7" x14ac:dyDescent="0.3">
      <c r="A24" s="3" t="s">
        <v>30</v>
      </c>
      <c r="B24">
        <v>17</v>
      </c>
      <c r="C24">
        <v>9</v>
      </c>
      <c r="D24">
        <v>18</v>
      </c>
      <c r="E24">
        <v>12</v>
      </c>
      <c r="F24">
        <v>21</v>
      </c>
      <c r="G24">
        <v>77</v>
      </c>
    </row>
    <row r="25" spans="1:7" x14ac:dyDescent="0.3">
      <c r="A25" s="2" t="s">
        <v>155</v>
      </c>
      <c r="B25">
        <v>148</v>
      </c>
      <c r="C25">
        <v>126</v>
      </c>
      <c r="D25">
        <v>73</v>
      </c>
      <c r="E25">
        <v>103</v>
      </c>
      <c r="F25">
        <v>105</v>
      </c>
      <c r="G25">
        <v>555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083B9E-0EFD-45AC-9F53-82804972E6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Supply chain data</vt:lpstr>
      <vt:lpstr>Revenue generation </vt:lpstr>
      <vt:lpstr>Shipping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2026-06-02T08:16:52Z</dcterms:created>
  <dcterms:modified xsi:type="dcterms:W3CDTF">2026-06-18T08:46:59Z</dcterms:modified>
</cp:coreProperties>
</file>